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  <sheet state="visible" name="Feuille 2" sheetId="2" r:id="rId6"/>
  </sheets>
  <definedNames/>
  <calcPr/>
</workbook>
</file>

<file path=xl/sharedStrings.xml><?xml version="1.0" encoding="utf-8"?>
<sst xmlns="http://schemas.openxmlformats.org/spreadsheetml/2006/main" count="16" uniqueCount="9">
  <si>
    <t>Nombre d'options</t>
  </si>
  <si>
    <t>Joué</t>
  </si>
  <si>
    <t>Nombre</t>
  </si>
  <si>
    <t>Pour marquer une carte comme jouée, il faut remplacer le 0 dans la colonne B avec 1</t>
  </si>
  <si>
    <t>Voici le code couleur du nombre d'options  :</t>
  </si>
  <si>
    <t>Calc. options</t>
  </si>
  <si>
    <t>Joué 0/1</t>
  </si>
  <si>
    <t>Opts.</t>
  </si>
  <si>
    <t>Nb. Options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</si>
</sst>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sz val="12.0"/>
      <color theme="1"/>
      <name val="Arial"/>
      <scheme val="minor"/>
    </font>
    <font>
      <color rgb="FF000000"/>
      <name val="Arial"/>
      <scheme val="minor"/>
    </font>
    <font>
      <color rgb="FFFFFFFF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rgb="FF4A86E8"/>
        <bgColor rgb="FF4A86E8"/>
      </patternFill>
    </fill>
    <fill>
      <patternFill patternType="solid">
        <fgColor rgb="FF9900FF"/>
        <bgColor rgb="FF9900FF"/>
      </patternFill>
    </fill>
    <fill>
      <patternFill patternType="solid">
        <fgColor rgb="FF351C75"/>
        <bgColor rgb="FF351C75"/>
      </patternFill>
    </fill>
    <fill>
      <patternFill patternType="solid">
        <fgColor rgb="FFB45F06"/>
        <bgColor rgb="FFB45F06"/>
      </patternFill>
    </fill>
    <fill>
      <patternFill patternType="solid">
        <fgColor rgb="FF0000FF"/>
        <bgColor rgb="FF0000FF"/>
      </patternFill>
    </fill>
    <fill>
      <patternFill patternType="solid">
        <fgColor rgb="FF999999"/>
        <bgColor rgb="FF999999"/>
      </patternFill>
    </fill>
    <fill>
      <patternFill patternType="solid">
        <fgColor rgb="FF4C1130"/>
        <bgColor rgb="FF4C1130"/>
      </patternFill>
    </fill>
    <fill>
      <patternFill patternType="solid">
        <fgColor rgb="FF274E13"/>
        <bgColor rgb="FF274E13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readingOrder="0"/>
    </xf>
    <xf borderId="0" fillId="0" fontId="4" numFmtId="0" xfId="0" applyAlignment="1" applyFont="1">
      <alignment horizontal="left" readingOrder="0" vertical="center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6" fontId="5" numFmtId="0" xfId="0" applyAlignment="1" applyFill="1" applyFont="1">
      <alignment horizontal="center" readingOrder="0"/>
    </xf>
    <xf borderId="0" fillId="7" fontId="1" numFmtId="0" xfId="0" applyAlignment="1" applyFill="1" applyFont="1">
      <alignment horizontal="center" readingOrder="0"/>
    </xf>
    <xf borderId="0" fillId="8" fontId="6" numFmtId="0" xfId="0" applyAlignment="1" applyFill="1" applyFont="1">
      <alignment horizontal="center" readingOrder="0"/>
    </xf>
    <xf borderId="0" fillId="9" fontId="1" numFmtId="0" xfId="0" applyAlignment="1" applyFill="1" applyFont="1">
      <alignment horizontal="center" readingOrder="0"/>
    </xf>
    <xf borderId="0" fillId="10" fontId="1" numFmtId="0" xfId="0" applyAlignment="1" applyFill="1" applyFont="1">
      <alignment horizontal="center" readingOrder="0"/>
    </xf>
    <xf borderId="0" fillId="11" fontId="6" numFmtId="0" xfId="0" applyAlignment="1" applyFill="1" applyFont="1">
      <alignment horizontal="center" readingOrder="0"/>
    </xf>
    <xf borderId="0" fillId="12" fontId="1" numFmtId="0" xfId="0" applyAlignment="1" applyFill="1" applyFont="1">
      <alignment horizontal="center" readingOrder="0"/>
    </xf>
    <xf borderId="0" fillId="13" fontId="6" numFmtId="0" xfId="0" applyAlignment="1" applyFill="1" applyFont="1">
      <alignment horizontal="center" readingOrder="0"/>
    </xf>
    <xf borderId="0" fillId="14" fontId="6" numFmtId="0" xfId="0" applyAlignment="1" applyFill="1" applyFont="1">
      <alignment horizontal="center" readingOrder="0"/>
    </xf>
    <xf borderId="0" fillId="15" fontId="6" numFmtId="0" xfId="0" applyAlignment="1" applyFill="1" applyFont="1">
      <alignment horizontal="center" readingOrder="0"/>
    </xf>
    <xf borderId="0" fillId="16" fontId="6" numFmtId="0" xfId="0" applyAlignment="1" applyFill="1" applyFont="1">
      <alignment horizontal="center" readingOrder="0"/>
    </xf>
    <xf borderId="0" fillId="17" fontId="1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1" numFmtId="0" xfId="0" applyFont="1"/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23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9900FF"/>
          <bgColor rgb="FF9900FF"/>
        </patternFill>
      </fill>
      <border/>
    </dxf>
    <dxf>
      <font>
        <color rgb="FFFFFFFF"/>
      </font>
      <fill>
        <patternFill patternType="solid">
          <fgColor rgb="FF20124D"/>
          <bgColor rgb="FF20124D"/>
        </patternFill>
      </fill>
      <border/>
    </dxf>
    <dxf>
      <font/>
      <fill>
        <patternFill patternType="solid">
          <fgColor rgb="FFB45F06"/>
          <bgColor rgb="FFB45F06"/>
        </patternFill>
      </fill>
      <border/>
    </dxf>
    <dxf>
      <font>
        <color rgb="FFFFFFFF"/>
      </font>
      <fill>
        <patternFill patternType="solid">
          <fgColor rgb="FF0000FF"/>
          <bgColor rgb="FF0000FF"/>
        </patternFill>
      </fill>
      <border/>
    </dxf>
    <dxf>
      <font>
        <color rgb="FFFFFFFF"/>
      </font>
      <fill>
        <patternFill patternType="solid">
          <fgColor rgb="FF999999"/>
          <bgColor rgb="FF999999"/>
        </patternFill>
      </fill>
      <border/>
    </dxf>
    <dxf>
      <font>
        <color rgb="FFFFFFFF"/>
      </font>
      <fill>
        <patternFill patternType="solid">
          <fgColor rgb="FF4C1130"/>
          <bgColor rgb="FF4C1130"/>
        </patternFill>
      </fill>
      <border/>
    </dxf>
    <dxf>
      <font>
        <color rgb="FFFFFFFF"/>
      </font>
      <fill>
        <patternFill patternType="solid">
          <fgColor rgb="FF274E13"/>
          <bgColor rgb="FF274E13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</dxfs>
  <tableStyles count="4">
    <tableStyle count="3" pivot="0" name="Feuille 1-style">
      <tableStyleElement dxfId="1" type="headerRow"/>
      <tableStyleElement dxfId="2" type="firstRowStripe"/>
      <tableStyleElement dxfId="1" type="secondRowStripe"/>
    </tableStyle>
    <tableStyle count="3" pivot="0" name="Feuille 1-style 2">
      <tableStyleElement dxfId="3" type="headerRow"/>
      <tableStyleElement dxfId="2" type="firstRowStripe"/>
      <tableStyleElement dxfId="1" type="secondRowStripe"/>
    </tableStyle>
    <tableStyle count="3" pivot="0" name="Feuille 2-style">
      <tableStyleElement dxfId="3" type="headerRow"/>
      <tableStyleElement dxfId="2" type="firstRowStripe"/>
      <tableStyleElement dxfId="1" type="secondRowStripe"/>
    </tableStyle>
    <tableStyle count="3" pivot="0" name="Feuille 2-style 2">
      <tableStyleElement dxfId="3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2:Q30" displayName="Table_1" name="Table_1" id="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Feuille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C37:P65" displayName="Table_2" name="Table_2" id="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euille 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C2:L30" displayName="Table_3" name="Table_3" id="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Feuille 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C37:P65" displayName="Table_4" name="Table_4" id="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euille 2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5.38"/>
    <col customWidth="1" min="3" max="3" width="6.63"/>
    <col customWidth="1" min="4" max="21" width="3.88"/>
  </cols>
  <sheetData>
    <row r="1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4"/>
    </row>
    <row r="2">
      <c r="A2" s="1">
        <f t="shared" ref="A2:A30" si="1">Q37</f>
        <v>14</v>
      </c>
      <c r="B2" s="2">
        <v>0.0</v>
      </c>
      <c r="C2" s="5">
        <v>2.0</v>
      </c>
      <c r="D2" s="6">
        <f>IF(B4=0,4,0)</f>
        <v>4</v>
      </c>
      <c r="E2" s="6">
        <f>IF(B6=0,6,0)</f>
        <v>6</v>
      </c>
      <c r="F2" s="6">
        <f>IF(B8=0,8,0)</f>
        <v>8</v>
      </c>
      <c r="G2" s="6">
        <f>IF(B10=0,10,0)</f>
        <v>10</v>
      </c>
      <c r="H2" s="6">
        <f>IF(B12=0,12,0)</f>
        <v>12</v>
      </c>
      <c r="I2" s="6">
        <f>IF(B14=0,14,0)</f>
        <v>14</v>
      </c>
      <c r="J2" s="6">
        <f>IF(B16=0,16,0)</f>
        <v>16</v>
      </c>
      <c r="K2" s="6">
        <f>IF(B18=0,18,0)</f>
        <v>18</v>
      </c>
      <c r="L2" s="6">
        <f>IF(B20=0,20,0)</f>
        <v>20</v>
      </c>
      <c r="M2" s="6">
        <f>IF(B22=0,22,0)</f>
        <v>22</v>
      </c>
      <c r="N2" s="6">
        <f>IF(B24=0,24,0)</f>
        <v>24</v>
      </c>
      <c r="O2" s="6">
        <f>IF(B26=0,26,0)</f>
        <v>26</v>
      </c>
      <c r="P2" s="6">
        <f>IF(B28=0,28,0)</f>
        <v>28</v>
      </c>
      <c r="Q2" s="6">
        <f>IF(B30=0,30,0)</f>
        <v>30</v>
      </c>
      <c r="R2" s="4"/>
      <c r="S2" s="4"/>
    </row>
    <row r="3">
      <c r="A3" s="4">
        <f t="shared" si="1"/>
        <v>9</v>
      </c>
      <c r="B3" s="2">
        <v>0.0</v>
      </c>
      <c r="C3" s="5">
        <v>3.0</v>
      </c>
      <c r="D3" s="6">
        <f>IF(B6=0,6,0)</f>
        <v>6</v>
      </c>
      <c r="E3" s="6">
        <f>IF(B9=0,9,0)</f>
        <v>9</v>
      </c>
      <c r="F3" s="6">
        <f>IF(B12=0,12,0)</f>
        <v>12</v>
      </c>
      <c r="G3" s="6">
        <f>IF(B15=0,15,0)</f>
        <v>15</v>
      </c>
      <c r="H3" s="6">
        <f>IF(B18=0,18,0)</f>
        <v>18</v>
      </c>
      <c r="I3" s="6">
        <f>IF(B21=0,21,0)</f>
        <v>21</v>
      </c>
      <c r="J3" s="6">
        <f>IF(B24=0,24,0)</f>
        <v>24</v>
      </c>
      <c r="K3" s="6">
        <f>IF(B27=0,27,0)</f>
        <v>27</v>
      </c>
      <c r="L3" s="6">
        <f>IF(B30=0,30,0)</f>
        <v>30</v>
      </c>
      <c r="M3" s="6"/>
      <c r="N3" s="6"/>
      <c r="O3" s="6"/>
      <c r="P3" s="6"/>
      <c r="Q3" s="6"/>
      <c r="R3" s="4"/>
      <c r="S3" s="4"/>
    </row>
    <row r="4">
      <c r="A4" s="1">
        <f t="shared" si="1"/>
        <v>7</v>
      </c>
      <c r="B4" s="2">
        <v>0.0</v>
      </c>
      <c r="C4" s="5">
        <v>4.0</v>
      </c>
      <c r="D4" s="6">
        <f>IF(B2=0,2,0)</f>
        <v>2</v>
      </c>
      <c r="E4" s="6">
        <f>IF(B8=0,8,0)</f>
        <v>8</v>
      </c>
      <c r="F4" s="6">
        <f>IF(B12=0,12,0)</f>
        <v>12</v>
      </c>
      <c r="G4" s="6">
        <f>IF(B16=0,16,0)</f>
        <v>16</v>
      </c>
      <c r="H4" s="6">
        <f>IF(B20=0,20,0)</f>
        <v>20</v>
      </c>
      <c r="I4" s="6">
        <f>IF(B24=0,24,0)</f>
        <v>24</v>
      </c>
      <c r="J4" s="6">
        <f>IF(B28=0,28,0)</f>
        <v>28</v>
      </c>
      <c r="K4" s="6"/>
      <c r="L4" s="6"/>
      <c r="M4" s="6"/>
      <c r="N4" s="6"/>
      <c r="O4" s="6"/>
      <c r="P4" s="6"/>
      <c r="Q4" s="6"/>
      <c r="R4" s="4"/>
      <c r="S4" s="4"/>
    </row>
    <row r="5">
      <c r="A5" s="4">
        <f t="shared" si="1"/>
        <v>5</v>
      </c>
      <c r="B5" s="2">
        <v>0.0</v>
      </c>
      <c r="C5" s="5">
        <v>5.0</v>
      </c>
      <c r="D5" s="6">
        <f>IF(B10=0,10,0)</f>
        <v>10</v>
      </c>
      <c r="E5" s="6">
        <f>IF(B15=0,15,0)</f>
        <v>15</v>
      </c>
      <c r="F5" s="6">
        <f>IF(B20=0,20,0)</f>
        <v>20</v>
      </c>
      <c r="G5" s="6">
        <f>IF(B25=0,25,0)</f>
        <v>25</v>
      </c>
      <c r="H5" s="6">
        <f>IF(B30=0,30,0)</f>
        <v>30</v>
      </c>
      <c r="I5" s="6"/>
      <c r="J5" s="6"/>
      <c r="K5" s="6"/>
      <c r="L5" s="6"/>
      <c r="M5" s="6"/>
      <c r="N5" s="6"/>
      <c r="O5" s="6"/>
      <c r="P5" s="6"/>
      <c r="Q5" s="6"/>
      <c r="R5" s="4"/>
      <c r="S5" s="4"/>
    </row>
    <row r="6">
      <c r="A6" s="1">
        <f t="shared" si="1"/>
        <v>6</v>
      </c>
      <c r="B6" s="2">
        <v>0.0</v>
      </c>
      <c r="C6" s="5">
        <v>6.0</v>
      </c>
      <c r="D6" s="6">
        <f>IF(B2=0,2,0)</f>
        <v>2</v>
      </c>
      <c r="E6" s="6">
        <f>IF(B3=0,3,0)</f>
        <v>3</v>
      </c>
      <c r="F6" s="6">
        <f>IF(B12=0,12,0)</f>
        <v>12</v>
      </c>
      <c r="G6" s="6">
        <f>IF(B18=0,18,0)</f>
        <v>18</v>
      </c>
      <c r="H6" s="6">
        <f>IF(B24=0,24,0)</f>
        <v>24</v>
      </c>
      <c r="I6" s="6">
        <f>IF(B30=0,30,0)</f>
        <v>30</v>
      </c>
      <c r="J6" s="6"/>
      <c r="K6" s="6"/>
      <c r="L6" s="6"/>
      <c r="M6" s="6"/>
      <c r="N6" s="6"/>
      <c r="O6" s="6"/>
      <c r="P6" s="6"/>
      <c r="Q6" s="6"/>
      <c r="R6" s="4"/>
      <c r="S6" s="4"/>
    </row>
    <row r="7">
      <c r="A7" s="4">
        <f t="shared" si="1"/>
        <v>3</v>
      </c>
      <c r="B7" s="2">
        <v>0.0</v>
      </c>
      <c r="C7" s="5">
        <v>7.0</v>
      </c>
      <c r="D7" s="6">
        <f>IF(B14=0,14,0)</f>
        <v>14</v>
      </c>
      <c r="E7" s="6">
        <f>IF(B21=0,21,0)</f>
        <v>21</v>
      </c>
      <c r="F7" s="6">
        <f>IF(B28=0,28,0)</f>
        <v>28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4"/>
      <c r="S7" s="4"/>
    </row>
    <row r="8">
      <c r="A8" s="1">
        <f t="shared" si="1"/>
        <v>4</v>
      </c>
      <c r="B8" s="2">
        <v>0.0</v>
      </c>
      <c r="C8" s="5">
        <v>8.0</v>
      </c>
      <c r="D8" s="6">
        <f>IF(B2=0,2,0)</f>
        <v>2</v>
      </c>
      <c r="E8" s="6">
        <f>IF(B4=0,4,0)</f>
        <v>4</v>
      </c>
      <c r="F8" s="6">
        <f>IF(B16=0,16,0)</f>
        <v>16</v>
      </c>
      <c r="G8" s="6">
        <f>IF(B24=0,24,0)</f>
        <v>24</v>
      </c>
      <c r="H8" s="6"/>
      <c r="I8" s="6"/>
      <c r="J8" s="6"/>
      <c r="K8" s="6"/>
      <c r="L8" s="6"/>
      <c r="M8" s="6"/>
      <c r="N8" s="6"/>
      <c r="O8" s="6"/>
      <c r="P8" s="6"/>
      <c r="Q8" s="6"/>
      <c r="R8" s="4"/>
      <c r="S8" s="4"/>
    </row>
    <row r="9">
      <c r="A9" s="4">
        <f t="shared" si="1"/>
        <v>3</v>
      </c>
      <c r="B9" s="2">
        <v>0.0</v>
      </c>
      <c r="C9" s="5">
        <v>9.0</v>
      </c>
      <c r="D9" s="6">
        <f>IF(B3=0,3,0)</f>
        <v>3</v>
      </c>
      <c r="E9" s="6">
        <f>IF(B18=0,18,0)</f>
        <v>18</v>
      </c>
      <c r="F9" s="6">
        <f>IF(B27=0,27,0)</f>
        <v>27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4"/>
      <c r="S9" s="4"/>
    </row>
    <row r="10">
      <c r="A10" s="1">
        <f t="shared" si="1"/>
        <v>4</v>
      </c>
      <c r="B10" s="2">
        <v>0.0</v>
      </c>
      <c r="C10" s="5">
        <v>10.0</v>
      </c>
      <c r="D10" s="6">
        <f>IF(B2=0,2,0)</f>
        <v>2</v>
      </c>
      <c r="E10" s="6">
        <f>IF(B5=0,5,0)</f>
        <v>5</v>
      </c>
      <c r="F10" s="6">
        <f>IF(B20=0,20,0)</f>
        <v>20</v>
      </c>
      <c r="G10" s="6">
        <f>IF(B30=0,30,0)</f>
        <v>30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4"/>
      <c r="S10" s="4"/>
    </row>
    <row r="11">
      <c r="A11" s="4">
        <f t="shared" si="1"/>
        <v>1</v>
      </c>
      <c r="B11" s="2">
        <v>0.0</v>
      </c>
      <c r="C11" s="5">
        <v>11.0</v>
      </c>
      <c r="D11" s="6">
        <f>IF(B22=0,22,0)</f>
        <v>22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4"/>
      <c r="S11" s="4"/>
    </row>
    <row r="12">
      <c r="A12" s="1">
        <f t="shared" si="1"/>
        <v>5</v>
      </c>
      <c r="B12" s="2">
        <v>0.0</v>
      </c>
      <c r="C12" s="5">
        <v>12.0</v>
      </c>
      <c r="D12" s="6">
        <f>IF(B2=0,2,0)</f>
        <v>2</v>
      </c>
      <c r="E12" s="6">
        <f>IF(B3=0,3,0)</f>
        <v>3</v>
      </c>
      <c r="F12" s="6">
        <f>IF(B4=0,4,0)</f>
        <v>4</v>
      </c>
      <c r="G12" s="6">
        <f>IF(B6=0,6,0)</f>
        <v>6</v>
      </c>
      <c r="H12" s="6">
        <f>IF(B24=0,24,0)</f>
        <v>24</v>
      </c>
      <c r="I12" s="6"/>
      <c r="J12" s="6"/>
      <c r="K12" s="6"/>
      <c r="L12" s="6"/>
      <c r="M12" s="6"/>
      <c r="N12" s="6"/>
      <c r="O12" s="6"/>
      <c r="P12" s="6"/>
      <c r="Q12" s="6"/>
      <c r="R12" s="4"/>
      <c r="S12" s="4"/>
    </row>
    <row r="13">
      <c r="A13" s="4">
        <f t="shared" si="1"/>
        <v>1</v>
      </c>
      <c r="B13" s="2">
        <v>0.0</v>
      </c>
      <c r="C13" s="5">
        <v>13.0</v>
      </c>
      <c r="D13" s="6">
        <f>IF(B26=0,26,0)</f>
        <v>26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4"/>
      <c r="S13" s="4"/>
    </row>
    <row r="14">
      <c r="A14" s="1">
        <f t="shared" si="1"/>
        <v>3</v>
      </c>
      <c r="B14" s="2">
        <v>0.0</v>
      </c>
      <c r="C14" s="5">
        <v>14.0</v>
      </c>
      <c r="D14" s="6">
        <f>IF(B2=0,2,0)</f>
        <v>2</v>
      </c>
      <c r="E14" s="6">
        <f>IF(B7=0,7,0)</f>
        <v>7</v>
      </c>
      <c r="F14" s="6">
        <f>IF(B28=0,28,0)</f>
        <v>28</v>
      </c>
      <c r="G14" s="6"/>
      <c r="H14" s="6"/>
      <c r="I14" s="6"/>
      <c r="J14" s="7"/>
      <c r="K14" s="6"/>
      <c r="L14" s="6"/>
      <c r="M14" s="6"/>
      <c r="N14" s="6"/>
      <c r="O14" s="6"/>
      <c r="P14" s="6"/>
      <c r="Q14" s="6"/>
      <c r="R14" s="4"/>
      <c r="S14" s="4"/>
    </row>
    <row r="15">
      <c r="A15" s="4">
        <f t="shared" si="1"/>
        <v>3</v>
      </c>
      <c r="B15" s="2">
        <v>0.0</v>
      </c>
      <c r="C15" s="5">
        <v>15.0</v>
      </c>
      <c r="D15" s="8">
        <f>IF(B3=0,3,0)</f>
        <v>3</v>
      </c>
      <c r="E15" s="6">
        <f>IF(B5=0,5,0)</f>
        <v>5</v>
      </c>
      <c r="F15" s="6">
        <f>IF(B30=0,30,0)</f>
        <v>30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4"/>
      <c r="S15" s="4"/>
    </row>
    <row r="16">
      <c r="A16" s="1">
        <f t="shared" si="1"/>
        <v>3</v>
      </c>
      <c r="B16" s="2">
        <v>0.0</v>
      </c>
      <c r="C16" s="5">
        <v>16.0</v>
      </c>
      <c r="D16" s="6">
        <f>IF(B2=0,2,0)</f>
        <v>2</v>
      </c>
      <c r="E16" s="6">
        <f>IF(B4=0,4,0)</f>
        <v>4</v>
      </c>
      <c r="F16" s="6">
        <f>IF(B8=0,8,0)</f>
        <v>8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4"/>
      <c r="S16" s="4"/>
    </row>
    <row r="17">
      <c r="A17" s="4">
        <f t="shared" si="1"/>
        <v>0</v>
      </c>
      <c r="B17" s="2">
        <v>0.0</v>
      </c>
      <c r="C17" s="5">
        <v>17.0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4"/>
      <c r="S17" s="4"/>
    </row>
    <row r="18">
      <c r="A18" s="1">
        <f t="shared" si="1"/>
        <v>4</v>
      </c>
      <c r="B18" s="2">
        <v>0.0</v>
      </c>
      <c r="C18" s="5">
        <v>18.0</v>
      </c>
      <c r="D18" s="6">
        <f>IF(B2=0,2,0)</f>
        <v>2</v>
      </c>
      <c r="E18" s="6">
        <f>IF(B3=0,3,0)</f>
        <v>3</v>
      </c>
      <c r="F18" s="6">
        <f>IF(B6=0,6,0)</f>
        <v>6</v>
      </c>
      <c r="G18" s="6">
        <f>IF(B9=0,9,0)</f>
        <v>9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4"/>
      <c r="S18" s="4"/>
    </row>
    <row r="19">
      <c r="A19" s="4">
        <f t="shared" si="1"/>
        <v>0</v>
      </c>
      <c r="B19" s="2">
        <v>0.0</v>
      </c>
      <c r="C19" s="5">
        <v>19.0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4"/>
      <c r="S19" s="4"/>
    </row>
    <row r="20">
      <c r="A20" s="1">
        <f t="shared" si="1"/>
        <v>4</v>
      </c>
      <c r="B20" s="2">
        <v>0.0</v>
      </c>
      <c r="C20" s="5">
        <v>20.0</v>
      </c>
      <c r="D20" s="6">
        <f>IF(B2=0,2,0)</f>
        <v>2</v>
      </c>
      <c r="E20" s="6">
        <f>IF(B4=0,4,0)</f>
        <v>4</v>
      </c>
      <c r="F20" s="6">
        <f>IF(B5=0,5,0)</f>
        <v>5</v>
      </c>
      <c r="G20" s="6">
        <f>IF(B10=0,10,0)</f>
        <v>10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4"/>
      <c r="S20" s="4"/>
    </row>
    <row r="21">
      <c r="A21" s="4">
        <f t="shared" si="1"/>
        <v>2</v>
      </c>
      <c r="B21" s="2">
        <v>0.0</v>
      </c>
      <c r="C21" s="5">
        <v>21.0</v>
      </c>
      <c r="D21" s="6">
        <f>IF(B3=0,3,0)</f>
        <v>3</v>
      </c>
      <c r="E21" s="6">
        <f>IF(B7=0,7,0)</f>
        <v>7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4"/>
      <c r="S21" s="4"/>
    </row>
    <row r="22">
      <c r="A22" s="1">
        <f t="shared" si="1"/>
        <v>2</v>
      </c>
      <c r="B22" s="2">
        <v>0.0</v>
      </c>
      <c r="C22" s="5">
        <v>22.0</v>
      </c>
      <c r="D22" s="6">
        <f>IF(B2=0,2,0)</f>
        <v>2</v>
      </c>
      <c r="E22" s="6">
        <f>IF(B11=0,11,0)</f>
        <v>11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4"/>
      <c r="S22" s="4"/>
    </row>
    <row r="23">
      <c r="A23" s="4">
        <f t="shared" si="1"/>
        <v>0</v>
      </c>
      <c r="B23" s="2">
        <v>0.0</v>
      </c>
      <c r="C23" s="5">
        <v>23.0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4"/>
      <c r="S23" s="4"/>
    </row>
    <row r="24">
      <c r="A24" s="1">
        <f t="shared" si="1"/>
        <v>6</v>
      </c>
      <c r="B24" s="2">
        <v>0.0</v>
      </c>
      <c r="C24" s="5">
        <v>24.0</v>
      </c>
      <c r="D24" s="6">
        <f>IF(B2=0,2,0)</f>
        <v>2</v>
      </c>
      <c r="E24" s="6">
        <f>IF(B3=0,3,0)</f>
        <v>3</v>
      </c>
      <c r="F24" s="6">
        <f>IF(B4=0,4,0)</f>
        <v>4</v>
      </c>
      <c r="G24" s="6">
        <f>IF(B6=0,6,0)</f>
        <v>6</v>
      </c>
      <c r="H24" s="6">
        <f>IF(B8=0,8,0)</f>
        <v>8</v>
      </c>
      <c r="I24" s="6">
        <f>IF(B12=0,12,0)</f>
        <v>12</v>
      </c>
      <c r="J24" s="6"/>
      <c r="K24" s="6"/>
      <c r="L24" s="6"/>
      <c r="M24" s="6"/>
      <c r="N24" s="6"/>
      <c r="O24" s="6"/>
      <c r="P24" s="6"/>
      <c r="Q24" s="6"/>
      <c r="R24" s="4"/>
      <c r="S24" s="4"/>
    </row>
    <row r="25">
      <c r="A25" s="4">
        <f t="shared" si="1"/>
        <v>1</v>
      </c>
      <c r="B25" s="2">
        <v>0.0</v>
      </c>
      <c r="C25" s="5">
        <v>25.0</v>
      </c>
      <c r="D25" s="6">
        <f>IF(B5=0,5,0)</f>
        <v>5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4"/>
      <c r="S25" s="4"/>
    </row>
    <row r="26">
      <c r="A26" s="1">
        <f t="shared" si="1"/>
        <v>1</v>
      </c>
      <c r="B26" s="2">
        <v>0.0</v>
      </c>
      <c r="C26" s="5">
        <v>26.0</v>
      </c>
      <c r="D26" s="6">
        <f>IF(B2=0,2,0)</f>
        <v>2</v>
      </c>
      <c r="E26" s="6">
        <f>IF(B13=0,13,0)</f>
        <v>13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4"/>
      <c r="S26" s="4"/>
    </row>
    <row r="27">
      <c r="A27" s="4">
        <f t="shared" si="1"/>
        <v>1</v>
      </c>
      <c r="B27" s="2">
        <v>0.0</v>
      </c>
      <c r="C27" s="5">
        <v>27.0</v>
      </c>
      <c r="D27" s="6">
        <f>IF(B3=0,3,0)</f>
        <v>3</v>
      </c>
      <c r="E27" s="6">
        <f>IF(B9=0,9,0)</f>
        <v>9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4"/>
      <c r="S27" s="4"/>
    </row>
    <row r="28">
      <c r="A28" s="1">
        <f t="shared" si="1"/>
        <v>4</v>
      </c>
      <c r="B28" s="2">
        <v>0.0</v>
      </c>
      <c r="C28" s="5">
        <v>28.0</v>
      </c>
      <c r="D28" s="6">
        <f>IF(B2=0,2,0)</f>
        <v>2</v>
      </c>
      <c r="E28" s="6">
        <f>IF(B4=0,4,0)</f>
        <v>4</v>
      </c>
      <c r="F28" s="6">
        <f>IF(B7=0,7,0)</f>
        <v>7</v>
      </c>
      <c r="G28" s="6">
        <f>IF(B14=0,14,0)</f>
        <v>14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4"/>
      <c r="S28" s="4"/>
    </row>
    <row r="29">
      <c r="A29" s="4">
        <f t="shared" si="1"/>
        <v>0</v>
      </c>
      <c r="B29" s="2">
        <v>0.0</v>
      </c>
      <c r="C29" s="5">
        <v>29.0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4"/>
      <c r="S29" s="4"/>
    </row>
    <row r="30">
      <c r="A30" s="1">
        <f t="shared" si="1"/>
        <v>6</v>
      </c>
      <c r="B30" s="2">
        <v>0.0</v>
      </c>
      <c r="C30" s="5">
        <v>30.0</v>
      </c>
      <c r="D30" s="6">
        <f>IF(B2=0,2,0)</f>
        <v>2</v>
      </c>
      <c r="E30" s="6">
        <f>IF(B3=0,3,0)</f>
        <v>3</v>
      </c>
      <c r="F30" s="6">
        <f>IF(B5=0,5,0)</f>
        <v>5</v>
      </c>
      <c r="G30" s="6">
        <f>IF(B6=0,6,0)</f>
        <v>6</v>
      </c>
      <c r="H30" s="6">
        <f>IF(B10=0,10,0)</f>
        <v>10</v>
      </c>
      <c r="I30" s="6">
        <f>IF(B15=0,15,0)</f>
        <v>15</v>
      </c>
      <c r="J30" s="6"/>
      <c r="K30" s="6"/>
      <c r="L30" s="6"/>
      <c r="M30" s="6"/>
      <c r="N30" s="6"/>
      <c r="O30" s="6"/>
      <c r="P30" s="6"/>
      <c r="Q30" s="6"/>
      <c r="R30" s="4"/>
      <c r="S30" s="4"/>
    </row>
    <row r="31">
      <c r="B31" s="9"/>
    </row>
    <row r="32">
      <c r="A32" s="10" t="s">
        <v>3</v>
      </c>
    </row>
    <row r="33">
      <c r="A33" s="9" t="s">
        <v>4</v>
      </c>
      <c r="D33" s="9"/>
      <c r="G33" s="11">
        <v>0.0</v>
      </c>
      <c r="H33" s="12">
        <v>1.0</v>
      </c>
      <c r="I33" s="13">
        <v>2.0</v>
      </c>
      <c r="J33" s="14">
        <v>3.0</v>
      </c>
      <c r="K33" s="15">
        <v>4.0</v>
      </c>
      <c r="L33" s="16">
        <v>5.0</v>
      </c>
      <c r="M33" s="17">
        <v>6.0</v>
      </c>
      <c r="N33" s="18">
        <v>7.0</v>
      </c>
      <c r="O33" s="19">
        <v>8.0</v>
      </c>
      <c r="P33" s="20">
        <v>9.0</v>
      </c>
      <c r="Q33" s="21">
        <v>10.0</v>
      </c>
      <c r="R33" s="22">
        <v>11.0</v>
      </c>
      <c r="S33" s="23">
        <v>12.0</v>
      </c>
      <c r="T33" s="24">
        <v>13.0</v>
      </c>
      <c r="U33" s="25">
        <v>14.0</v>
      </c>
    </row>
    <row r="35">
      <c r="A35" s="9" t="s">
        <v>5</v>
      </c>
      <c r="B35" s="9" t="s">
        <v>2</v>
      </c>
    </row>
    <row r="36">
      <c r="A36" s="9" t="s">
        <v>6</v>
      </c>
      <c r="Q36" s="9" t="s">
        <v>7</v>
      </c>
    </row>
    <row r="37">
      <c r="A37" s="9">
        <f t="shared" ref="A37:A65" si="2">B2</f>
        <v>0</v>
      </c>
      <c r="B37" s="9">
        <v>2.0</v>
      </c>
      <c r="C37" s="26">
        <f>IF(A39=0,1,0)</f>
        <v>1</v>
      </c>
      <c r="D37" s="26">
        <f>IF(A41=0,1,0)</f>
        <v>1</v>
      </c>
      <c r="E37" s="26">
        <f>IF(A43=0,1,0)</f>
        <v>1</v>
      </c>
      <c r="F37" s="26">
        <f>IF(A45=0,1,0)</f>
        <v>1</v>
      </c>
      <c r="G37" s="26">
        <f>IF(A47=0,1,0)</f>
        <v>1</v>
      </c>
      <c r="H37" s="26">
        <f>IF(A49=0,1,0)</f>
        <v>1</v>
      </c>
      <c r="I37" s="26">
        <f>IF(A51=0,1,0)</f>
        <v>1</v>
      </c>
      <c r="J37" s="26">
        <f>IF(A53=0,1,0)</f>
        <v>1</v>
      </c>
      <c r="K37" s="26">
        <f>IF(A55=0,1,0)</f>
        <v>1</v>
      </c>
      <c r="L37" s="26">
        <f>IF(A57=0,1,0)</f>
        <v>1</v>
      </c>
      <c r="M37" s="26">
        <f>IF(A59=0,1,0)</f>
        <v>1</v>
      </c>
      <c r="N37" s="26">
        <f>IF(A61=0,1,0)</f>
        <v>1</v>
      </c>
      <c r="O37" s="26">
        <f>IF(A63=0,1,0)</f>
        <v>1</v>
      </c>
      <c r="P37" s="26">
        <f>IF(A65=0,1,0)</f>
        <v>1</v>
      </c>
      <c r="Q37" s="27">
        <f t="shared" ref="Q37:Q60" si="3">SUM(C37:P37)</f>
        <v>14</v>
      </c>
      <c r="R37" s="9">
        <v>2.0</v>
      </c>
    </row>
    <row r="38">
      <c r="A38" s="9">
        <f t="shared" si="2"/>
        <v>0</v>
      </c>
      <c r="B38" s="9">
        <v>3.0</v>
      </c>
      <c r="C38" s="26">
        <f>IF(A41=0,1,0)</f>
        <v>1</v>
      </c>
      <c r="D38" s="26">
        <f>IF(A44=0,1,0)</f>
        <v>1</v>
      </c>
      <c r="E38" s="26">
        <f>IF(A47=0,1,0)</f>
        <v>1</v>
      </c>
      <c r="F38" s="26">
        <f t="shared" ref="F38:F39" si="4">IF(A50=0,1,0)</f>
        <v>1</v>
      </c>
      <c r="G38" s="26">
        <f>IF(A53=0,1,0)</f>
        <v>1</v>
      </c>
      <c r="H38" s="26">
        <f>IF(A56=0,1,0)</f>
        <v>1</v>
      </c>
      <c r="I38" s="26">
        <f>IF(A59=0,1,0)</f>
        <v>1</v>
      </c>
      <c r="J38" s="26">
        <f>IF(A62=0,1,0)</f>
        <v>1</v>
      </c>
      <c r="K38" s="26">
        <f>IF(A63=0,1,0)</f>
        <v>1</v>
      </c>
      <c r="L38" s="26">
        <v>0.0</v>
      </c>
      <c r="M38" s="26">
        <v>0.0</v>
      </c>
      <c r="N38" s="26">
        <v>0.0</v>
      </c>
      <c r="O38" s="26">
        <v>0.0</v>
      </c>
      <c r="P38" s="26">
        <v>0.0</v>
      </c>
      <c r="Q38" s="27">
        <f t="shared" si="3"/>
        <v>9</v>
      </c>
      <c r="R38" s="9">
        <v>3.0</v>
      </c>
    </row>
    <row r="39">
      <c r="A39" s="9">
        <f t="shared" si="2"/>
        <v>0</v>
      </c>
      <c r="B39" s="9">
        <v>4.0</v>
      </c>
      <c r="C39" s="26">
        <f>IF(A37=0,1,0)</f>
        <v>1</v>
      </c>
      <c r="D39" s="26">
        <f>IF(A43=0,1,0)</f>
        <v>1</v>
      </c>
      <c r="E39" s="26">
        <f>IF(A47=0,1,0)</f>
        <v>1</v>
      </c>
      <c r="F39" s="26">
        <f t="shared" si="4"/>
        <v>1</v>
      </c>
      <c r="G39" s="26">
        <f>IF(A55=0,1,0)</f>
        <v>1</v>
      </c>
      <c r="H39" s="26">
        <f>IF(A59=0,1,0)</f>
        <v>1</v>
      </c>
      <c r="I39" s="26">
        <f>IF(A65=0,1,0)</f>
        <v>1</v>
      </c>
      <c r="J39" s="26">
        <v>0.0</v>
      </c>
      <c r="K39" s="26">
        <v>0.0</v>
      </c>
      <c r="L39" s="26">
        <v>0.0</v>
      </c>
      <c r="M39" s="26">
        <v>0.0</v>
      </c>
      <c r="N39" s="26">
        <v>0.0</v>
      </c>
      <c r="O39" s="26">
        <v>0.0</v>
      </c>
      <c r="P39" s="26">
        <v>0.0</v>
      </c>
      <c r="Q39" s="27">
        <f t="shared" si="3"/>
        <v>7</v>
      </c>
      <c r="R39" s="9">
        <v>4.0</v>
      </c>
    </row>
    <row r="40">
      <c r="A40" s="9">
        <f t="shared" si="2"/>
        <v>0</v>
      </c>
      <c r="B40" s="9">
        <v>5.0</v>
      </c>
      <c r="C40" s="26">
        <f>IF(A45=0,1,0)</f>
        <v>1</v>
      </c>
      <c r="D40" s="26">
        <f>IF(A50=0,1,0)</f>
        <v>1</v>
      </c>
      <c r="E40" s="26">
        <f>IF(A55=0,1,0)</f>
        <v>1</v>
      </c>
      <c r="F40" s="26">
        <f>IF(A60=0,1,0)</f>
        <v>1</v>
      </c>
      <c r="G40" s="26">
        <f>IF(A65=0,1,0)</f>
        <v>1</v>
      </c>
      <c r="H40" s="26">
        <v>0.0</v>
      </c>
      <c r="I40" s="26">
        <v>0.0</v>
      </c>
      <c r="J40" s="26">
        <v>0.0</v>
      </c>
      <c r="K40" s="26">
        <v>0.0</v>
      </c>
      <c r="L40" s="26">
        <v>0.0</v>
      </c>
      <c r="M40" s="26">
        <v>0.0</v>
      </c>
      <c r="N40" s="26">
        <v>0.0</v>
      </c>
      <c r="O40" s="26">
        <v>0.0</v>
      </c>
      <c r="P40" s="26">
        <v>0.0</v>
      </c>
      <c r="Q40" s="27">
        <f t="shared" si="3"/>
        <v>5</v>
      </c>
      <c r="R40" s="9">
        <v>5.0</v>
      </c>
    </row>
    <row r="41">
      <c r="A41" s="9">
        <f t="shared" si="2"/>
        <v>0</v>
      </c>
      <c r="B41" s="9">
        <v>6.0</v>
      </c>
      <c r="C41" s="26">
        <f>IF(A37=0,1,0)</f>
        <v>1</v>
      </c>
      <c r="D41" s="26">
        <f>IF(A38=0,1,0)</f>
        <v>1</v>
      </c>
      <c r="E41" s="26">
        <f>IF(A47=0,1,0)</f>
        <v>1</v>
      </c>
      <c r="F41" s="26">
        <f>IF(A53=0,1,0)</f>
        <v>1</v>
      </c>
      <c r="G41" s="26">
        <f>IF(A59=0,1,0)</f>
        <v>1</v>
      </c>
      <c r="H41" s="26">
        <f>IF(A65=0,1,0)</f>
        <v>1</v>
      </c>
      <c r="I41" s="26">
        <v>0.0</v>
      </c>
      <c r="J41" s="26">
        <v>0.0</v>
      </c>
      <c r="K41" s="26">
        <v>0.0</v>
      </c>
      <c r="L41" s="26">
        <v>0.0</v>
      </c>
      <c r="M41" s="26">
        <v>0.0</v>
      </c>
      <c r="N41" s="26">
        <v>0.0</v>
      </c>
      <c r="O41" s="26">
        <v>0.0</v>
      </c>
      <c r="P41" s="26">
        <v>0.0</v>
      </c>
      <c r="Q41" s="27">
        <f t="shared" si="3"/>
        <v>6</v>
      </c>
      <c r="R41" s="9">
        <v>6.0</v>
      </c>
    </row>
    <row r="42">
      <c r="A42" s="9">
        <f t="shared" si="2"/>
        <v>0</v>
      </c>
      <c r="B42" s="9">
        <v>7.0</v>
      </c>
      <c r="C42" s="26">
        <f>IF(A49=0,1,0)</f>
        <v>1</v>
      </c>
      <c r="D42" s="26">
        <f>IF(A56=0,1,0)</f>
        <v>1</v>
      </c>
      <c r="E42" s="26">
        <f>IF(A63=0,1,0)</f>
        <v>1</v>
      </c>
      <c r="F42" s="26">
        <v>0.0</v>
      </c>
      <c r="G42" s="26">
        <v>0.0</v>
      </c>
      <c r="H42" s="26">
        <v>0.0</v>
      </c>
      <c r="I42" s="26">
        <v>0.0</v>
      </c>
      <c r="J42" s="26">
        <v>0.0</v>
      </c>
      <c r="K42" s="26">
        <v>0.0</v>
      </c>
      <c r="L42" s="26">
        <v>0.0</v>
      </c>
      <c r="M42" s="26">
        <v>0.0</v>
      </c>
      <c r="N42" s="26">
        <v>0.0</v>
      </c>
      <c r="O42" s="26">
        <v>0.0</v>
      </c>
      <c r="P42" s="26">
        <v>0.0</v>
      </c>
      <c r="Q42" s="27">
        <f t="shared" si="3"/>
        <v>3</v>
      </c>
      <c r="R42" s="9">
        <v>7.0</v>
      </c>
    </row>
    <row r="43">
      <c r="A43" s="9">
        <f t="shared" si="2"/>
        <v>0</v>
      </c>
      <c r="B43" s="9">
        <v>8.0</v>
      </c>
      <c r="C43" s="26">
        <f t="shared" ref="C43:C44" si="5">IF(A37=0,1,0)</f>
        <v>1</v>
      </c>
      <c r="D43" s="26">
        <f>IF(A39=0,1,0)</f>
        <v>1</v>
      </c>
      <c r="E43" s="26">
        <f>IF(A51=0,1,0)</f>
        <v>1</v>
      </c>
      <c r="F43" s="26">
        <f>IF(A59=0,1,0)</f>
        <v>1</v>
      </c>
      <c r="G43" s="26">
        <v>0.0</v>
      </c>
      <c r="H43" s="26">
        <v>0.0</v>
      </c>
      <c r="I43" s="26">
        <v>0.0</v>
      </c>
      <c r="J43" s="26">
        <v>0.0</v>
      </c>
      <c r="K43" s="26">
        <v>0.0</v>
      </c>
      <c r="L43" s="26">
        <v>0.0</v>
      </c>
      <c r="M43" s="26">
        <v>0.0</v>
      </c>
      <c r="N43" s="26">
        <v>0.0</v>
      </c>
      <c r="O43" s="26">
        <v>0.0</v>
      </c>
      <c r="P43" s="26">
        <v>0.0</v>
      </c>
      <c r="Q43" s="27">
        <f t="shared" si="3"/>
        <v>4</v>
      </c>
      <c r="R43" s="9">
        <v>8.0</v>
      </c>
    </row>
    <row r="44">
      <c r="A44" s="9">
        <f t="shared" si="2"/>
        <v>0</v>
      </c>
      <c r="B44" s="9">
        <v>9.0</v>
      </c>
      <c r="C44" s="26">
        <f t="shared" si="5"/>
        <v>1</v>
      </c>
      <c r="D44" s="26">
        <f>IF(A53=0,1,0)</f>
        <v>1</v>
      </c>
      <c r="E44" s="26">
        <f>IF(A62=0,1,0)</f>
        <v>1</v>
      </c>
      <c r="F44" s="26">
        <v>0.0</v>
      </c>
      <c r="G44" s="26">
        <v>0.0</v>
      </c>
      <c r="H44" s="26">
        <v>0.0</v>
      </c>
      <c r="I44" s="26">
        <v>0.0</v>
      </c>
      <c r="J44" s="26">
        <v>0.0</v>
      </c>
      <c r="K44" s="26">
        <v>0.0</v>
      </c>
      <c r="L44" s="26">
        <v>0.0</v>
      </c>
      <c r="M44" s="26">
        <v>0.0</v>
      </c>
      <c r="N44" s="26">
        <v>0.0</v>
      </c>
      <c r="O44" s="26">
        <v>0.0</v>
      </c>
      <c r="P44" s="26">
        <v>0.0</v>
      </c>
      <c r="Q44" s="27">
        <f t="shared" si="3"/>
        <v>3</v>
      </c>
      <c r="R44" s="9">
        <v>9.0</v>
      </c>
    </row>
    <row r="45">
      <c r="A45" s="9">
        <f t="shared" si="2"/>
        <v>0</v>
      </c>
      <c r="B45" s="9">
        <v>10.0</v>
      </c>
      <c r="C45" s="26">
        <f>IF(A37=0,1,0)</f>
        <v>1</v>
      </c>
      <c r="D45" s="26">
        <f>IF(A40=0,1,0)</f>
        <v>1</v>
      </c>
      <c r="E45" s="26">
        <f>IF(A55=0,1,0)</f>
        <v>1</v>
      </c>
      <c r="F45" s="26">
        <f>IF(A65=0,1,0)</f>
        <v>1</v>
      </c>
      <c r="G45" s="26">
        <v>0.0</v>
      </c>
      <c r="H45" s="26">
        <v>0.0</v>
      </c>
      <c r="I45" s="26">
        <v>0.0</v>
      </c>
      <c r="J45" s="26">
        <v>0.0</v>
      </c>
      <c r="K45" s="26">
        <v>0.0</v>
      </c>
      <c r="L45" s="26">
        <v>0.0</v>
      </c>
      <c r="M45" s="26">
        <v>0.0</v>
      </c>
      <c r="N45" s="26">
        <v>0.0</v>
      </c>
      <c r="O45" s="26">
        <v>0.0</v>
      </c>
      <c r="P45" s="26">
        <v>0.0</v>
      </c>
      <c r="Q45" s="27">
        <f t="shared" si="3"/>
        <v>4</v>
      </c>
      <c r="R45" s="9">
        <v>10.0</v>
      </c>
    </row>
    <row r="46">
      <c r="A46" s="9">
        <f t="shared" si="2"/>
        <v>0</v>
      </c>
      <c r="B46" s="9">
        <v>11.0</v>
      </c>
      <c r="C46" s="26">
        <f>IF(A57=0,1,0)</f>
        <v>1</v>
      </c>
      <c r="D46" s="26">
        <v>0.0</v>
      </c>
      <c r="E46" s="26">
        <v>0.0</v>
      </c>
      <c r="F46" s="26">
        <v>0.0</v>
      </c>
      <c r="G46" s="26">
        <v>0.0</v>
      </c>
      <c r="H46" s="26">
        <v>0.0</v>
      </c>
      <c r="I46" s="26">
        <v>0.0</v>
      </c>
      <c r="J46" s="26">
        <v>0.0</v>
      </c>
      <c r="K46" s="26">
        <v>0.0</v>
      </c>
      <c r="L46" s="26">
        <v>0.0</v>
      </c>
      <c r="M46" s="26">
        <v>0.0</v>
      </c>
      <c r="N46" s="26">
        <v>0.0</v>
      </c>
      <c r="O46" s="26">
        <v>0.0</v>
      </c>
      <c r="P46" s="26">
        <v>0.0</v>
      </c>
      <c r="Q46" s="27">
        <f t="shared" si="3"/>
        <v>1</v>
      </c>
      <c r="R46" s="9">
        <v>11.0</v>
      </c>
    </row>
    <row r="47">
      <c r="A47" s="9">
        <f t="shared" si="2"/>
        <v>0</v>
      </c>
      <c r="B47" s="9">
        <v>12.0</v>
      </c>
      <c r="C47" s="26">
        <f>IF(A37=0,1,0)</f>
        <v>1</v>
      </c>
      <c r="D47" s="26">
        <f>IF(A38=0,1,0)</f>
        <v>1</v>
      </c>
      <c r="E47" s="26">
        <f>IF(A39=0,1,0)</f>
        <v>1</v>
      </c>
      <c r="F47" s="26">
        <f>IF(A41=0,1,0)</f>
        <v>1</v>
      </c>
      <c r="G47" s="26">
        <f>IF(A59=0,1,0)</f>
        <v>1</v>
      </c>
      <c r="H47" s="26">
        <v>0.0</v>
      </c>
      <c r="I47" s="26">
        <v>0.0</v>
      </c>
      <c r="J47" s="26">
        <v>0.0</v>
      </c>
      <c r="K47" s="26">
        <v>0.0</v>
      </c>
      <c r="L47" s="26">
        <v>0.0</v>
      </c>
      <c r="M47" s="26">
        <v>0.0</v>
      </c>
      <c r="N47" s="26">
        <v>0.0</v>
      </c>
      <c r="O47" s="26">
        <v>0.0</v>
      </c>
      <c r="P47" s="26">
        <v>0.0</v>
      </c>
      <c r="Q47" s="27">
        <f t="shared" si="3"/>
        <v>5</v>
      </c>
      <c r="R47" s="9">
        <v>12.0</v>
      </c>
    </row>
    <row r="48">
      <c r="A48" s="9">
        <f t="shared" si="2"/>
        <v>0</v>
      </c>
      <c r="B48" s="9">
        <v>13.0</v>
      </c>
      <c r="C48" s="26">
        <f>IF(A61=0,1,0)</f>
        <v>1</v>
      </c>
      <c r="D48" s="26">
        <v>0.0</v>
      </c>
      <c r="E48" s="26">
        <v>0.0</v>
      </c>
      <c r="F48" s="26">
        <v>0.0</v>
      </c>
      <c r="G48" s="26">
        <v>0.0</v>
      </c>
      <c r="H48" s="26">
        <v>0.0</v>
      </c>
      <c r="I48" s="26">
        <v>0.0</v>
      </c>
      <c r="J48" s="26">
        <v>0.0</v>
      </c>
      <c r="K48" s="26">
        <v>0.0</v>
      </c>
      <c r="L48" s="26">
        <v>0.0</v>
      </c>
      <c r="M48" s="26">
        <v>0.0</v>
      </c>
      <c r="N48" s="26">
        <v>0.0</v>
      </c>
      <c r="O48" s="26">
        <v>0.0</v>
      </c>
      <c r="P48" s="26">
        <v>0.0</v>
      </c>
      <c r="Q48" s="27">
        <f t="shared" si="3"/>
        <v>1</v>
      </c>
      <c r="R48" s="9">
        <v>13.0</v>
      </c>
    </row>
    <row r="49">
      <c r="A49" s="9">
        <f t="shared" si="2"/>
        <v>0</v>
      </c>
      <c r="B49" s="9">
        <v>14.0</v>
      </c>
      <c r="C49" s="26">
        <f t="shared" ref="C49:C50" si="6">IF(A37=0,1,0)</f>
        <v>1</v>
      </c>
      <c r="D49" s="26">
        <f>IF(A42=0,1,0)</f>
        <v>1</v>
      </c>
      <c r="E49" s="26">
        <f>IF(A63=0,1,0)</f>
        <v>1</v>
      </c>
      <c r="F49" s="26">
        <v>0.0</v>
      </c>
      <c r="G49" s="26">
        <v>0.0</v>
      </c>
      <c r="H49" s="26">
        <v>0.0</v>
      </c>
      <c r="I49" s="26">
        <v>0.0</v>
      </c>
      <c r="J49" s="26">
        <v>0.0</v>
      </c>
      <c r="K49" s="26">
        <v>0.0</v>
      </c>
      <c r="L49" s="26">
        <v>0.0</v>
      </c>
      <c r="M49" s="26">
        <v>0.0</v>
      </c>
      <c r="N49" s="26">
        <v>0.0</v>
      </c>
      <c r="O49" s="26">
        <v>0.0</v>
      </c>
      <c r="P49" s="26">
        <v>0.0</v>
      </c>
      <c r="Q49" s="27">
        <f t="shared" si="3"/>
        <v>3</v>
      </c>
      <c r="R49" s="9">
        <v>14.0</v>
      </c>
    </row>
    <row r="50">
      <c r="A50" s="9">
        <f t="shared" si="2"/>
        <v>0</v>
      </c>
      <c r="B50" s="9">
        <v>15.0</v>
      </c>
      <c r="C50" s="26">
        <f t="shared" si="6"/>
        <v>1</v>
      </c>
      <c r="D50" s="26">
        <f>IF(A40=0,1,0)</f>
        <v>1</v>
      </c>
      <c r="E50" s="26">
        <f>IF(A65=0,1,0)</f>
        <v>1</v>
      </c>
      <c r="F50" s="26">
        <v>0.0</v>
      </c>
      <c r="G50" s="26">
        <v>0.0</v>
      </c>
      <c r="H50" s="26">
        <v>0.0</v>
      </c>
      <c r="I50" s="26">
        <v>0.0</v>
      </c>
      <c r="J50" s="26">
        <v>0.0</v>
      </c>
      <c r="K50" s="26">
        <v>0.0</v>
      </c>
      <c r="L50" s="26">
        <v>0.0</v>
      </c>
      <c r="M50" s="26">
        <v>0.0</v>
      </c>
      <c r="N50" s="26">
        <v>0.0</v>
      </c>
      <c r="O50" s="26">
        <v>0.0</v>
      </c>
      <c r="P50" s="26">
        <v>0.0</v>
      </c>
      <c r="Q50" s="27">
        <f t="shared" si="3"/>
        <v>3</v>
      </c>
      <c r="R50" s="9">
        <v>15.0</v>
      </c>
    </row>
    <row r="51">
      <c r="A51" s="9">
        <f t="shared" si="2"/>
        <v>0</v>
      </c>
      <c r="B51" s="9">
        <v>16.0</v>
      </c>
      <c r="C51" s="26">
        <f>IF(A37=0,1,0)</f>
        <v>1</v>
      </c>
      <c r="D51" s="26">
        <f>IF(A39=0,1,0)</f>
        <v>1</v>
      </c>
      <c r="E51" s="26">
        <f>IF(A43=0,1,0)</f>
        <v>1</v>
      </c>
      <c r="F51" s="26">
        <v>0.0</v>
      </c>
      <c r="G51" s="26">
        <v>0.0</v>
      </c>
      <c r="H51" s="26">
        <v>0.0</v>
      </c>
      <c r="I51" s="26">
        <v>0.0</v>
      </c>
      <c r="J51" s="26">
        <v>0.0</v>
      </c>
      <c r="K51" s="26">
        <v>0.0</v>
      </c>
      <c r="L51" s="26">
        <v>0.0</v>
      </c>
      <c r="M51" s="26">
        <v>0.0</v>
      </c>
      <c r="N51" s="26">
        <v>0.0</v>
      </c>
      <c r="O51" s="26">
        <v>0.0</v>
      </c>
      <c r="P51" s="26">
        <v>0.0</v>
      </c>
      <c r="Q51" s="27">
        <f t="shared" si="3"/>
        <v>3</v>
      </c>
      <c r="R51" s="9">
        <v>16.0</v>
      </c>
    </row>
    <row r="52">
      <c r="A52" s="9">
        <f t="shared" si="2"/>
        <v>0</v>
      </c>
      <c r="B52" s="9">
        <v>17.0</v>
      </c>
      <c r="C52" s="26">
        <v>0.0</v>
      </c>
      <c r="D52" s="26">
        <v>0.0</v>
      </c>
      <c r="E52" s="26">
        <v>0.0</v>
      </c>
      <c r="F52" s="26">
        <v>0.0</v>
      </c>
      <c r="G52" s="26">
        <v>0.0</v>
      </c>
      <c r="H52" s="26">
        <v>0.0</v>
      </c>
      <c r="I52" s="26">
        <v>0.0</v>
      </c>
      <c r="J52" s="26">
        <v>0.0</v>
      </c>
      <c r="K52" s="26">
        <v>0.0</v>
      </c>
      <c r="L52" s="26">
        <v>0.0</v>
      </c>
      <c r="M52" s="26">
        <v>0.0</v>
      </c>
      <c r="N52" s="26">
        <v>0.0</v>
      </c>
      <c r="O52" s="26">
        <v>0.0</v>
      </c>
      <c r="P52" s="26">
        <v>0.0</v>
      </c>
      <c r="Q52" s="27">
        <f t="shared" si="3"/>
        <v>0</v>
      </c>
      <c r="R52" s="9">
        <v>17.0</v>
      </c>
    </row>
    <row r="53">
      <c r="A53" s="9">
        <f t="shared" si="2"/>
        <v>0</v>
      </c>
      <c r="B53" s="9">
        <v>18.0</v>
      </c>
      <c r="C53" s="26">
        <f>IF(A37=0,1,0)</f>
        <v>1</v>
      </c>
      <c r="D53" s="26">
        <f>IF(A38=0,1,0)</f>
        <v>1</v>
      </c>
      <c r="E53" s="26">
        <f>IF(A41=0,1,0)</f>
        <v>1</v>
      </c>
      <c r="F53" s="26">
        <f>IF(A44=0,1,0)</f>
        <v>1</v>
      </c>
      <c r="G53" s="26">
        <v>0.0</v>
      </c>
      <c r="H53" s="26">
        <v>0.0</v>
      </c>
      <c r="I53" s="26">
        <v>0.0</v>
      </c>
      <c r="J53" s="26">
        <v>0.0</v>
      </c>
      <c r="K53" s="26">
        <v>0.0</v>
      </c>
      <c r="L53" s="26">
        <v>0.0</v>
      </c>
      <c r="M53" s="26">
        <v>0.0</v>
      </c>
      <c r="N53" s="26">
        <v>0.0</v>
      </c>
      <c r="O53" s="26">
        <v>0.0</v>
      </c>
      <c r="P53" s="26">
        <v>0.0</v>
      </c>
      <c r="Q53" s="27">
        <f t="shared" si="3"/>
        <v>4</v>
      </c>
      <c r="R53" s="9">
        <v>18.0</v>
      </c>
    </row>
    <row r="54">
      <c r="A54" s="9">
        <f t="shared" si="2"/>
        <v>0</v>
      </c>
      <c r="B54" s="9">
        <v>19.0</v>
      </c>
      <c r="C54" s="26">
        <v>0.0</v>
      </c>
      <c r="D54" s="26">
        <v>0.0</v>
      </c>
      <c r="E54" s="26">
        <v>0.0</v>
      </c>
      <c r="F54" s="26">
        <v>0.0</v>
      </c>
      <c r="G54" s="26">
        <v>0.0</v>
      </c>
      <c r="H54" s="26">
        <v>0.0</v>
      </c>
      <c r="I54" s="26">
        <v>0.0</v>
      </c>
      <c r="J54" s="26">
        <v>0.0</v>
      </c>
      <c r="K54" s="26">
        <v>0.0</v>
      </c>
      <c r="L54" s="26">
        <v>0.0</v>
      </c>
      <c r="M54" s="26">
        <v>0.0</v>
      </c>
      <c r="N54" s="26">
        <v>0.0</v>
      </c>
      <c r="O54" s="26">
        <v>0.0</v>
      </c>
      <c r="P54" s="26">
        <v>0.0</v>
      </c>
      <c r="Q54" s="27">
        <f t="shared" si="3"/>
        <v>0</v>
      </c>
      <c r="R54" s="9">
        <v>19.0</v>
      </c>
    </row>
    <row r="55">
      <c r="A55" s="9">
        <f t="shared" si="2"/>
        <v>0</v>
      </c>
      <c r="B55" s="9">
        <v>20.0</v>
      </c>
      <c r="C55" s="26">
        <f t="shared" ref="C55:C56" si="7">IF(A37=0,1,0)</f>
        <v>1</v>
      </c>
      <c r="D55" s="26">
        <f>IF(A39=0,1,0)</f>
        <v>1</v>
      </c>
      <c r="E55" s="26">
        <f>IF(A40=0,1,0)</f>
        <v>1</v>
      </c>
      <c r="F55" s="26">
        <f>IF(A45=0,1,0)</f>
        <v>1</v>
      </c>
      <c r="G55" s="26">
        <v>0.0</v>
      </c>
      <c r="H55" s="26">
        <v>0.0</v>
      </c>
      <c r="I55" s="26">
        <v>0.0</v>
      </c>
      <c r="J55" s="26">
        <v>0.0</v>
      </c>
      <c r="K55" s="26">
        <v>0.0</v>
      </c>
      <c r="L55" s="26">
        <v>0.0</v>
      </c>
      <c r="M55" s="26">
        <v>0.0</v>
      </c>
      <c r="N55" s="26">
        <v>0.0</v>
      </c>
      <c r="O55" s="26">
        <v>0.0</v>
      </c>
      <c r="P55" s="26">
        <v>0.0</v>
      </c>
      <c r="Q55" s="27">
        <f t="shared" si="3"/>
        <v>4</v>
      </c>
      <c r="R55" s="9">
        <v>20.0</v>
      </c>
    </row>
    <row r="56">
      <c r="A56" s="9">
        <f t="shared" si="2"/>
        <v>0</v>
      </c>
      <c r="B56" s="9">
        <v>21.0</v>
      </c>
      <c r="C56" s="26">
        <f t="shared" si="7"/>
        <v>1</v>
      </c>
      <c r="D56" s="26">
        <f>IF(A42=0,1,0)</f>
        <v>1</v>
      </c>
      <c r="E56" s="26">
        <v>0.0</v>
      </c>
      <c r="F56" s="26">
        <v>0.0</v>
      </c>
      <c r="G56" s="26">
        <v>0.0</v>
      </c>
      <c r="H56" s="26">
        <v>0.0</v>
      </c>
      <c r="I56" s="26">
        <v>0.0</v>
      </c>
      <c r="J56" s="26">
        <v>0.0</v>
      </c>
      <c r="K56" s="26">
        <v>0.0</v>
      </c>
      <c r="L56" s="26">
        <v>0.0</v>
      </c>
      <c r="M56" s="26">
        <v>0.0</v>
      </c>
      <c r="N56" s="26">
        <v>0.0</v>
      </c>
      <c r="O56" s="26">
        <v>0.0</v>
      </c>
      <c r="P56" s="26">
        <v>0.0</v>
      </c>
      <c r="Q56" s="27">
        <f t="shared" si="3"/>
        <v>2</v>
      </c>
      <c r="R56" s="9">
        <v>21.0</v>
      </c>
    </row>
    <row r="57">
      <c r="A57" s="9">
        <f t="shared" si="2"/>
        <v>0</v>
      </c>
      <c r="B57" s="9">
        <v>22.0</v>
      </c>
      <c r="C57" s="26">
        <f>IF(A37=0,1,0)</f>
        <v>1</v>
      </c>
      <c r="D57" s="26">
        <f>IF(A46=0,1,0)</f>
        <v>1</v>
      </c>
      <c r="E57" s="26">
        <v>0.0</v>
      </c>
      <c r="F57" s="26">
        <v>0.0</v>
      </c>
      <c r="G57" s="26">
        <v>0.0</v>
      </c>
      <c r="H57" s="26">
        <v>0.0</v>
      </c>
      <c r="I57" s="26">
        <v>0.0</v>
      </c>
      <c r="J57" s="26">
        <v>0.0</v>
      </c>
      <c r="K57" s="26">
        <v>0.0</v>
      </c>
      <c r="L57" s="26">
        <v>0.0</v>
      </c>
      <c r="M57" s="26">
        <v>0.0</v>
      </c>
      <c r="N57" s="26">
        <v>0.0</v>
      </c>
      <c r="O57" s="26">
        <v>0.0</v>
      </c>
      <c r="P57" s="26">
        <v>0.0</v>
      </c>
      <c r="Q57" s="27">
        <f t="shared" si="3"/>
        <v>2</v>
      </c>
      <c r="R57" s="9">
        <v>22.0</v>
      </c>
    </row>
    <row r="58">
      <c r="A58" s="9">
        <f t="shared" si="2"/>
        <v>0</v>
      </c>
      <c r="B58" s="9">
        <v>23.0</v>
      </c>
      <c r="C58" s="26">
        <v>0.0</v>
      </c>
      <c r="D58" s="26">
        <v>0.0</v>
      </c>
      <c r="E58" s="26">
        <v>0.0</v>
      </c>
      <c r="F58" s="26">
        <v>0.0</v>
      </c>
      <c r="G58" s="26">
        <v>0.0</v>
      </c>
      <c r="H58" s="26">
        <v>0.0</v>
      </c>
      <c r="I58" s="26">
        <v>0.0</v>
      </c>
      <c r="J58" s="26">
        <v>0.0</v>
      </c>
      <c r="K58" s="26">
        <v>0.0</v>
      </c>
      <c r="L58" s="26">
        <v>0.0</v>
      </c>
      <c r="M58" s="26">
        <v>0.0</v>
      </c>
      <c r="N58" s="26">
        <v>0.0</v>
      </c>
      <c r="O58" s="26">
        <v>0.0</v>
      </c>
      <c r="P58" s="26">
        <v>0.0</v>
      </c>
      <c r="Q58" s="27">
        <f t="shared" si="3"/>
        <v>0</v>
      </c>
      <c r="R58" s="9">
        <v>23.0</v>
      </c>
    </row>
    <row r="59">
      <c r="A59" s="9">
        <f t="shared" si="2"/>
        <v>0</v>
      </c>
      <c r="B59" s="9">
        <v>24.0</v>
      </c>
      <c r="C59" s="26">
        <f>IF(A37=0,1,0)</f>
        <v>1</v>
      </c>
      <c r="D59" s="26">
        <f>IF(A38=0,1,0)</f>
        <v>1</v>
      </c>
      <c r="E59" s="26">
        <f>IF(A39=0,1,0)</f>
        <v>1</v>
      </c>
      <c r="F59" s="26">
        <f>IF(A41=0,1,0)</f>
        <v>1</v>
      </c>
      <c r="G59" s="26">
        <f>IF(A43=0,1,0)</f>
        <v>1</v>
      </c>
      <c r="H59" s="26">
        <f>IF(A47=0,1,0)</f>
        <v>1</v>
      </c>
      <c r="I59" s="26">
        <v>0.0</v>
      </c>
      <c r="J59" s="26">
        <v>0.0</v>
      </c>
      <c r="K59" s="26">
        <v>0.0</v>
      </c>
      <c r="L59" s="26">
        <v>0.0</v>
      </c>
      <c r="M59" s="26">
        <v>0.0</v>
      </c>
      <c r="N59" s="26">
        <v>0.0</v>
      </c>
      <c r="O59" s="26">
        <v>0.0</v>
      </c>
      <c r="P59" s="26">
        <v>0.0</v>
      </c>
      <c r="Q59" s="27">
        <f t="shared" si="3"/>
        <v>6</v>
      </c>
      <c r="R59" s="9">
        <v>24.0</v>
      </c>
    </row>
    <row r="60">
      <c r="A60" s="9">
        <f t="shared" si="2"/>
        <v>0</v>
      </c>
      <c r="B60" s="9">
        <v>25.0</v>
      </c>
      <c r="C60" s="26">
        <f>IF(A40=0,1,0)</f>
        <v>1</v>
      </c>
      <c r="D60" s="26">
        <v>0.0</v>
      </c>
      <c r="E60" s="26">
        <v>0.0</v>
      </c>
      <c r="F60" s="26">
        <v>0.0</v>
      </c>
      <c r="G60" s="26">
        <v>0.0</v>
      </c>
      <c r="H60" s="26">
        <v>0.0</v>
      </c>
      <c r="I60" s="26">
        <v>0.0</v>
      </c>
      <c r="J60" s="26">
        <v>0.0</v>
      </c>
      <c r="K60" s="26">
        <v>0.0</v>
      </c>
      <c r="L60" s="26">
        <v>0.0</v>
      </c>
      <c r="M60" s="26">
        <v>0.0</v>
      </c>
      <c r="N60" s="26">
        <v>0.0</v>
      </c>
      <c r="O60" s="26">
        <v>0.0</v>
      </c>
      <c r="P60" s="26">
        <v>0.0</v>
      </c>
      <c r="Q60" s="27">
        <f t="shared" si="3"/>
        <v>1</v>
      </c>
      <c r="R60" s="9">
        <v>25.0</v>
      </c>
    </row>
    <row r="61">
      <c r="A61" s="9">
        <f t="shared" si="2"/>
        <v>0</v>
      </c>
      <c r="B61" s="9">
        <v>26.0</v>
      </c>
      <c r="C61" s="26">
        <f t="shared" ref="C61:C62" si="8">IF(A37=0,1,0)</f>
        <v>1</v>
      </c>
      <c r="D61" s="26">
        <f>IF(A48=0,1,0)</f>
        <v>1</v>
      </c>
      <c r="E61" s="26">
        <v>0.0</v>
      </c>
      <c r="F61" s="26">
        <v>0.0</v>
      </c>
      <c r="G61" s="26">
        <v>0.0</v>
      </c>
      <c r="H61" s="26">
        <v>0.0</v>
      </c>
      <c r="I61" s="26">
        <v>0.0</v>
      </c>
      <c r="J61" s="26">
        <v>0.0</v>
      </c>
      <c r="K61" s="26">
        <v>0.0</v>
      </c>
      <c r="L61" s="26">
        <v>0.0</v>
      </c>
      <c r="M61" s="26">
        <v>0.0</v>
      </c>
      <c r="N61" s="26">
        <v>0.0</v>
      </c>
      <c r="O61" s="26">
        <v>0.0</v>
      </c>
      <c r="P61" s="26">
        <v>0.0</v>
      </c>
      <c r="Q61" s="27">
        <f t="shared" ref="Q61:Q62" si="9">SUM(D61:P61)</f>
        <v>1</v>
      </c>
      <c r="R61" s="9">
        <v>26.0</v>
      </c>
    </row>
    <row r="62">
      <c r="A62" s="9">
        <f t="shared" si="2"/>
        <v>0</v>
      </c>
      <c r="B62" s="9">
        <v>27.0</v>
      </c>
      <c r="C62" s="26">
        <f t="shared" si="8"/>
        <v>1</v>
      </c>
      <c r="D62" s="26">
        <f>IF(A44=0,1,0)</f>
        <v>1</v>
      </c>
      <c r="E62" s="26">
        <v>0.0</v>
      </c>
      <c r="F62" s="26">
        <v>0.0</v>
      </c>
      <c r="G62" s="26">
        <v>0.0</v>
      </c>
      <c r="H62" s="26">
        <v>0.0</v>
      </c>
      <c r="I62" s="26">
        <v>0.0</v>
      </c>
      <c r="J62" s="26">
        <v>0.0</v>
      </c>
      <c r="K62" s="26">
        <v>0.0</v>
      </c>
      <c r="L62" s="26">
        <v>0.0</v>
      </c>
      <c r="M62" s="26">
        <v>0.0</v>
      </c>
      <c r="N62" s="26">
        <v>0.0</v>
      </c>
      <c r="O62" s="26">
        <v>0.0</v>
      </c>
      <c r="P62" s="26">
        <v>0.0</v>
      </c>
      <c r="Q62" s="27">
        <f t="shared" si="9"/>
        <v>1</v>
      </c>
      <c r="R62" s="9">
        <v>27.0</v>
      </c>
    </row>
    <row r="63">
      <c r="A63" s="9">
        <f t="shared" si="2"/>
        <v>0</v>
      </c>
      <c r="B63" s="9">
        <v>28.0</v>
      </c>
      <c r="C63" s="26">
        <f>IF(A37=0,1,0)</f>
        <v>1</v>
      </c>
      <c r="D63" s="26">
        <f>IF(A39=0,1,0)</f>
        <v>1</v>
      </c>
      <c r="E63" s="26">
        <f>IF(A42=0,1,0)</f>
        <v>1</v>
      </c>
      <c r="F63" s="26">
        <f>IF(A49=0,1,0)</f>
        <v>1</v>
      </c>
      <c r="G63" s="26">
        <v>0.0</v>
      </c>
      <c r="H63" s="26">
        <v>0.0</v>
      </c>
      <c r="I63" s="26">
        <v>0.0</v>
      </c>
      <c r="J63" s="26">
        <v>0.0</v>
      </c>
      <c r="K63" s="26">
        <v>0.0</v>
      </c>
      <c r="L63" s="26">
        <v>0.0</v>
      </c>
      <c r="M63" s="26">
        <v>0.0</v>
      </c>
      <c r="N63" s="26">
        <v>0.0</v>
      </c>
      <c r="O63" s="26">
        <v>0.0</v>
      </c>
      <c r="P63" s="26">
        <v>0.0</v>
      </c>
      <c r="Q63" s="27">
        <f t="shared" ref="Q63:Q65" si="10">SUM(C63:P63)</f>
        <v>4</v>
      </c>
      <c r="R63" s="9">
        <v>28.0</v>
      </c>
    </row>
    <row r="64">
      <c r="A64" s="9">
        <f t="shared" si="2"/>
        <v>0</v>
      </c>
      <c r="B64" s="9">
        <v>29.0</v>
      </c>
      <c r="C64" s="26">
        <v>0.0</v>
      </c>
      <c r="D64" s="26">
        <v>0.0</v>
      </c>
      <c r="E64" s="26">
        <v>0.0</v>
      </c>
      <c r="F64" s="26">
        <v>0.0</v>
      </c>
      <c r="G64" s="26">
        <v>0.0</v>
      </c>
      <c r="H64" s="26">
        <v>0.0</v>
      </c>
      <c r="I64" s="26">
        <v>0.0</v>
      </c>
      <c r="J64" s="26">
        <v>0.0</v>
      </c>
      <c r="K64" s="26">
        <v>0.0</v>
      </c>
      <c r="L64" s="26">
        <v>0.0</v>
      </c>
      <c r="M64" s="26">
        <v>0.0</v>
      </c>
      <c r="N64" s="26">
        <v>0.0</v>
      </c>
      <c r="O64" s="26">
        <v>0.0</v>
      </c>
      <c r="P64" s="26">
        <v>0.0</v>
      </c>
      <c r="Q64" s="27">
        <f t="shared" si="10"/>
        <v>0</v>
      </c>
      <c r="R64" s="9">
        <v>29.0</v>
      </c>
    </row>
    <row r="65">
      <c r="A65" s="9">
        <f t="shared" si="2"/>
        <v>0</v>
      </c>
      <c r="B65" s="9">
        <v>30.0</v>
      </c>
      <c r="C65" s="26">
        <f>IF(A37=0,1,0)</f>
        <v>1</v>
      </c>
      <c r="D65" s="26">
        <f>IF(A38=0,1,0)</f>
        <v>1</v>
      </c>
      <c r="E65" s="26">
        <f>IF(A40=0,1,0)</f>
        <v>1</v>
      </c>
      <c r="F65" s="26">
        <f>IF(A41=0,1,0)</f>
        <v>1</v>
      </c>
      <c r="G65" s="26">
        <f>IF(A45=0,1,0)</f>
        <v>1</v>
      </c>
      <c r="H65" s="26">
        <f>IF(A50=0,1,0)</f>
        <v>1</v>
      </c>
      <c r="I65" s="26">
        <v>0.0</v>
      </c>
      <c r="J65" s="26">
        <v>0.0</v>
      </c>
      <c r="K65" s="26">
        <v>0.0</v>
      </c>
      <c r="L65" s="26">
        <v>0.0</v>
      </c>
      <c r="M65" s="26">
        <v>0.0</v>
      </c>
      <c r="N65" s="26">
        <v>0.0</v>
      </c>
      <c r="O65" s="26">
        <v>0.0</v>
      </c>
      <c r="P65" s="26">
        <v>0.0</v>
      </c>
      <c r="Q65" s="27">
        <f t="shared" si="10"/>
        <v>6</v>
      </c>
      <c r="R65" s="9">
        <v>30.0</v>
      </c>
    </row>
    <row r="66">
      <c r="B66" s="9"/>
    </row>
    <row r="67">
      <c r="B67" s="9"/>
    </row>
  </sheetData>
  <conditionalFormatting sqref="Q37:Q65">
    <cfRule type="cellIs" dxfId="4" priority="1" operator="equal">
      <formula>0</formula>
    </cfRule>
  </conditionalFormatting>
  <conditionalFormatting sqref="A37:A65">
    <cfRule type="cellIs" dxfId="5" priority="2" operator="equal">
      <formula>1</formula>
    </cfRule>
  </conditionalFormatting>
  <conditionalFormatting sqref="Q37:Q65">
    <cfRule type="cellIs" dxfId="6" priority="3" operator="equal">
      <formula>1</formula>
    </cfRule>
  </conditionalFormatting>
  <conditionalFormatting sqref="Q37:Q65">
    <cfRule type="cellIs" dxfId="7" priority="4" operator="equal">
      <formula>2</formula>
    </cfRule>
  </conditionalFormatting>
  <conditionalFormatting sqref="Q37:Q65">
    <cfRule type="cellIs" dxfId="8" priority="5" operator="equal">
      <formula>3</formula>
    </cfRule>
  </conditionalFormatting>
  <conditionalFormatting sqref="Q37:Q65">
    <cfRule type="cellIs" dxfId="9" priority="6" operator="equal">
      <formula>4</formula>
    </cfRule>
  </conditionalFormatting>
  <conditionalFormatting sqref="Q37:Q65">
    <cfRule type="cellIs" dxfId="10" priority="7" operator="equal">
      <formula>5</formula>
    </cfRule>
  </conditionalFormatting>
  <conditionalFormatting sqref="Q37:Q65">
    <cfRule type="cellIs" dxfId="11" priority="8" operator="equal">
      <formula>6</formula>
    </cfRule>
  </conditionalFormatting>
  <conditionalFormatting sqref="Q37:Q65">
    <cfRule type="cellIs" dxfId="12" priority="9" operator="equal">
      <formula>7</formula>
    </cfRule>
  </conditionalFormatting>
  <conditionalFormatting sqref="Q37:Q65">
    <cfRule type="cellIs" dxfId="13" priority="10" operator="equal">
      <formula>8</formula>
    </cfRule>
  </conditionalFormatting>
  <conditionalFormatting sqref="Q37:Q65">
    <cfRule type="cellIs" dxfId="14" priority="11" operator="equal">
      <formula>9</formula>
    </cfRule>
  </conditionalFormatting>
  <conditionalFormatting sqref="Q37:Q65">
    <cfRule type="cellIs" dxfId="15" priority="12" operator="equal">
      <formula>10</formula>
    </cfRule>
  </conditionalFormatting>
  <conditionalFormatting sqref="Q37:Q65">
    <cfRule type="cellIs" dxfId="16" priority="13" operator="equal">
      <formula>11</formula>
    </cfRule>
  </conditionalFormatting>
  <conditionalFormatting sqref="Q37:Q65">
    <cfRule type="cellIs" dxfId="17" priority="14" operator="equal">
      <formula>12</formula>
    </cfRule>
  </conditionalFormatting>
  <conditionalFormatting sqref="Q37:Q65">
    <cfRule type="cellIs" dxfId="18" priority="15" operator="equal">
      <formula>13</formula>
    </cfRule>
  </conditionalFormatting>
  <conditionalFormatting sqref="Q37:Q65">
    <cfRule type="cellIs" dxfId="19" priority="16" operator="equal">
      <formula>14</formula>
    </cfRule>
  </conditionalFormatting>
  <conditionalFormatting sqref="C37:P65">
    <cfRule type="cellIs" dxfId="20" priority="17" operator="equal">
      <formula>0</formula>
    </cfRule>
  </conditionalFormatting>
  <conditionalFormatting sqref="A37:A65">
    <cfRule type="cellIs" dxfId="4" priority="18" operator="equal">
      <formula>0</formula>
    </cfRule>
  </conditionalFormatting>
  <conditionalFormatting sqref="D2:Q30">
    <cfRule type="cellIs" dxfId="21" priority="19" operator="equal">
      <formula>0</formula>
    </cfRule>
  </conditionalFormatting>
  <conditionalFormatting sqref="B2:B30">
    <cfRule type="cellIs" dxfId="4" priority="20" operator="equal">
      <formula>0</formula>
    </cfRule>
  </conditionalFormatting>
  <conditionalFormatting sqref="B2:B30">
    <cfRule type="cellIs" dxfId="19" priority="21" operator="equal">
      <formula>1</formula>
    </cfRule>
  </conditionalFormatting>
  <conditionalFormatting sqref="A2:A30">
    <cfRule type="cellIs" dxfId="4" priority="22" operator="equal">
      <formula>0</formula>
    </cfRule>
  </conditionalFormatting>
  <conditionalFormatting sqref="A2:A30">
    <cfRule type="cellIs" dxfId="6" priority="23" operator="equal">
      <formula>1</formula>
    </cfRule>
  </conditionalFormatting>
  <conditionalFormatting sqref="A2:A30">
    <cfRule type="cellIs" dxfId="8" priority="24" operator="equal">
      <formula>3</formula>
    </cfRule>
  </conditionalFormatting>
  <conditionalFormatting sqref="A2:A30">
    <cfRule type="cellIs" dxfId="9" priority="25" operator="equal">
      <formula>4</formula>
    </cfRule>
  </conditionalFormatting>
  <conditionalFormatting sqref="A2:A30">
    <cfRule type="cellIs" dxfId="10" priority="26" operator="equal">
      <formula>5</formula>
    </cfRule>
  </conditionalFormatting>
  <conditionalFormatting sqref="A2:A30">
    <cfRule type="cellIs" dxfId="7" priority="27" operator="equal">
      <formula>2</formula>
    </cfRule>
  </conditionalFormatting>
  <conditionalFormatting sqref="A2:A30">
    <cfRule type="cellIs" dxfId="11" priority="28" operator="equal">
      <formula>6</formula>
    </cfRule>
  </conditionalFormatting>
  <conditionalFormatting sqref="A2:A30">
    <cfRule type="cellIs" dxfId="12" priority="29" operator="equal">
      <formula>7</formula>
    </cfRule>
  </conditionalFormatting>
  <conditionalFormatting sqref="A2:A30">
    <cfRule type="cellIs" dxfId="13" priority="30" operator="equal">
      <formula>8</formula>
    </cfRule>
  </conditionalFormatting>
  <conditionalFormatting sqref="A2:A30">
    <cfRule type="cellIs" dxfId="14" priority="31" operator="equal">
      <formula>9</formula>
    </cfRule>
  </conditionalFormatting>
  <conditionalFormatting sqref="A2:A30">
    <cfRule type="cellIs" dxfId="15" priority="32" operator="equal">
      <formula>10</formula>
    </cfRule>
  </conditionalFormatting>
  <conditionalFormatting sqref="A2:A30">
    <cfRule type="cellIs" dxfId="16" priority="33" operator="equal">
      <formula>11</formula>
    </cfRule>
  </conditionalFormatting>
  <conditionalFormatting sqref="A2:A30">
    <cfRule type="cellIs" dxfId="17" priority="34" operator="equal">
      <formula>12</formula>
    </cfRule>
  </conditionalFormatting>
  <conditionalFormatting sqref="A2:A30">
    <cfRule type="cellIs" dxfId="18" priority="35" operator="equal">
      <formula>13</formula>
    </cfRule>
  </conditionalFormatting>
  <conditionalFormatting sqref="A2:A30">
    <cfRule type="cellIs" dxfId="19" priority="36" operator="equal">
      <formula>14</formula>
    </cfRule>
  </conditionalFormatting>
  <conditionalFormatting sqref="C2:C30">
    <cfRule type="notContainsBlanks" dxfId="22" priority="37">
      <formula>LEN(TRIM(C2))&gt;0</formula>
    </cfRule>
  </conditionalFormatting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28" t="s">
        <v>6</v>
      </c>
      <c r="C1" s="29" t="s">
        <v>2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>
      <c r="A2" s="9">
        <f t="shared" ref="A2:A30" si="1">Q37</f>
        <v>14</v>
      </c>
      <c r="B2" s="28">
        <v>0.0</v>
      </c>
      <c r="C2" s="30">
        <v>2.0</v>
      </c>
      <c r="D2" s="30">
        <f>IF(B4=0,4,0)</f>
        <v>4</v>
      </c>
      <c r="E2" s="30">
        <f>IF(B6=0,6,0)</f>
        <v>6</v>
      </c>
      <c r="F2" s="30">
        <f>IF(B8=0,8,0)</f>
        <v>8</v>
      </c>
      <c r="G2" s="30">
        <f>IF(B10=0,10,0)</f>
        <v>10</v>
      </c>
      <c r="H2" s="30">
        <f>IF(B12=0,12,0)</f>
        <v>12</v>
      </c>
      <c r="I2" s="30">
        <f>IF(B14=0,14,0)</f>
        <v>14</v>
      </c>
      <c r="J2" s="30">
        <f>IF(B16=0,16,0)</f>
        <v>16</v>
      </c>
      <c r="K2" s="30">
        <f>IF(B18=0,18,0)</f>
        <v>18</v>
      </c>
      <c r="L2" s="30">
        <f>IF(B20=0,20,0)</f>
        <v>20</v>
      </c>
      <c r="M2" s="31">
        <f>IF(B22=0,22,0)</f>
        <v>22</v>
      </c>
      <c r="N2" s="31">
        <f>IF(B24=0,24,0)</f>
        <v>24</v>
      </c>
      <c r="O2" s="31">
        <f>IF(B26=0,26,0)</f>
        <v>26</v>
      </c>
      <c r="P2" s="31">
        <f>IF(B28=0,28,0)</f>
        <v>28</v>
      </c>
      <c r="Q2" s="31">
        <f>IF(B30=0,30,0)</f>
        <v>30</v>
      </c>
    </row>
    <row r="3">
      <c r="A3" s="27">
        <f t="shared" si="1"/>
        <v>9</v>
      </c>
      <c r="B3" s="28">
        <v>0.0</v>
      </c>
      <c r="C3" s="30">
        <v>3.0</v>
      </c>
      <c r="D3" s="30">
        <f>IF(B6=0,6,0)</f>
        <v>6</v>
      </c>
      <c r="E3" s="30">
        <f>IF(B9=0,9,0)</f>
        <v>9</v>
      </c>
      <c r="F3" s="30">
        <f>IF(B12=0,12,0)</f>
        <v>12</v>
      </c>
      <c r="G3" s="30">
        <f>IF(B15=0,15,0)</f>
        <v>15</v>
      </c>
      <c r="H3" s="30">
        <f>IF(B18=0,18,0)</f>
        <v>18</v>
      </c>
      <c r="I3" s="30">
        <f>IF(B21=0,21,0)</f>
        <v>21</v>
      </c>
      <c r="J3" s="30">
        <f>IF(B24=0,24,0)</f>
        <v>24</v>
      </c>
      <c r="K3" s="30">
        <f>IF(B27=0,27,0)</f>
        <v>27</v>
      </c>
      <c r="L3" s="30">
        <f>IF(B30=0,30,0)</f>
        <v>30</v>
      </c>
      <c r="M3" s="29"/>
      <c r="N3" s="29"/>
      <c r="O3" s="29"/>
      <c r="P3" s="29"/>
      <c r="Q3" s="29"/>
    </row>
    <row r="4">
      <c r="A4" s="9">
        <f t="shared" si="1"/>
        <v>7</v>
      </c>
      <c r="B4" s="28">
        <v>0.0</v>
      </c>
      <c r="C4" s="30">
        <v>4.0</v>
      </c>
      <c r="D4" s="30">
        <f>IF(B2=0,2,0)</f>
        <v>2</v>
      </c>
      <c r="E4" s="30">
        <f>IF(B8=0,8,0)</f>
        <v>8</v>
      </c>
      <c r="F4" s="30">
        <f>IF(B12=0,12,0)</f>
        <v>12</v>
      </c>
      <c r="G4" s="30">
        <f>IF(B16=0,16,0)</f>
        <v>16</v>
      </c>
      <c r="H4" s="30">
        <f>IF(B20=0,20,0)</f>
        <v>20</v>
      </c>
      <c r="I4" s="30">
        <f>IF(B24=0,24,0)</f>
        <v>24</v>
      </c>
      <c r="J4" s="30">
        <f>IF(B28=0,28,0)</f>
        <v>28</v>
      </c>
      <c r="K4" s="32"/>
      <c r="L4" s="32"/>
      <c r="M4" s="29"/>
      <c r="N4" s="29"/>
      <c r="O4" s="29"/>
      <c r="P4" s="29"/>
      <c r="Q4" s="29"/>
    </row>
    <row r="5">
      <c r="A5" s="27">
        <f t="shared" si="1"/>
        <v>5</v>
      </c>
      <c r="B5" s="28">
        <v>0.0</v>
      </c>
      <c r="C5" s="30">
        <v>5.0</v>
      </c>
      <c r="D5" s="30">
        <f>IF(B10=0,10,0)</f>
        <v>10</v>
      </c>
      <c r="E5" s="30">
        <f>IF(B15=0,15,0)</f>
        <v>15</v>
      </c>
      <c r="F5" s="30">
        <f>IF(B20=0,20,0)</f>
        <v>20</v>
      </c>
      <c r="G5" s="30">
        <f>IF(B25=0,25,0)</f>
        <v>25</v>
      </c>
      <c r="H5" s="30">
        <f>IF(B30=0,30,0)</f>
        <v>30</v>
      </c>
      <c r="I5" s="32"/>
      <c r="J5" s="32"/>
      <c r="K5" s="32"/>
      <c r="L5" s="32"/>
      <c r="M5" s="29"/>
      <c r="N5" s="29"/>
      <c r="O5" s="29"/>
      <c r="P5" s="29"/>
      <c r="Q5" s="29"/>
    </row>
    <row r="6">
      <c r="A6" s="9">
        <f t="shared" si="1"/>
        <v>6</v>
      </c>
      <c r="B6" s="28">
        <v>0.0</v>
      </c>
      <c r="C6" s="30">
        <v>6.0</v>
      </c>
      <c r="D6" s="30">
        <f>IF(B2=0,2,0)</f>
        <v>2</v>
      </c>
      <c r="E6" s="30">
        <f>IF(B3=0,3,0)</f>
        <v>3</v>
      </c>
      <c r="F6" s="30">
        <f>IF(B12=0,12,0)</f>
        <v>12</v>
      </c>
      <c r="G6" s="30">
        <f>IF(B18=0,18,0)</f>
        <v>18</v>
      </c>
      <c r="H6" s="30">
        <f>IF(B24=0,24,0)</f>
        <v>24</v>
      </c>
      <c r="I6" s="30">
        <f>IF(B30=0,30,0)</f>
        <v>30</v>
      </c>
      <c r="J6" s="32"/>
      <c r="K6" s="32"/>
      <c r="L6" s="32"/>
      <c r="M6" s="29"/>
      <c r="N6" s="29"/>
      <c r="O6" s="29"/>
      <c r="P6" s="29"/>
      <c r="Q6" s="29"/>
    </row>
    <row r="7">
      <c r="A7" s="27">
        <f t="shared" si="1"/>
        <v>3</v>
      </c>
      <c r="B7" s="28">
        <v>0.0</v>
      </c>
      <c r="C7" s="30">
        <v>7.0</v>
      </c>
      <c r="D7" s="30">
        <f>IF(B14=0,14,0)</f>
        <v>14</v>
      </c>
      <c r="E7" s="30">
        <f>IF(B21=0,21,0)</f>
        <v>21</v>
      </c>
      <c r="F7" s="30">
        <f>IF(B28=0,28,0)</f>
        <v>28</v>
      </c>
      <c r="G7" s="32"/>
      <c r="H7" s="32"/>
      <c r="I7" s="32"/>
      <c r="J7" s="32"/>
      <c r="K7" s="32"/>
      <c r="L7" s="32"/>
      <c r="M7" s="29"/>
      <c r="N7" s="29"/>
      <c r="O7" s="29"/>
      <c r="P7" s="29"/>
      <c r="Q7" s="29"/>
    </row>
    <row r="8">
      <c r="A8" s="9">
        <f t="shared" si="1"/>
        <v>4</v>
      </c>
      <c r="B8" s="28">
        <v>0.0</v>
      </c>
      <c r="C8" s="30">
        <v>8.0</v>
      </c>
      <c r="D8" s="30">
        <f>IF(B2=0,2,0)</f>
        <v>2</v>
      </c>
      <c r="E8" s="30">
        <f>IF(B4=0,4,0)</f>
        <v>4</v>
      </c>
      <c r="F8" s="30">
        <f>IF(B16=0,16,0)</f>
        <v>16</v>
      </c>
      <c r="G8" s="30">
        <f>IF(B24=0,24,0)</f>
        <v>24</v>
      </c>
      <c r="H8" s="32"/>
      <c r="I8" s="32"/>
      <c r="J8" s="32"/>
      <c r="K8" s="32"/>
      <c r="L8" s="32"/>
      <c r="M8" s="29"/>
      <c r="N8" s="29"/>
      <c r="O8" s="29"/>
      <c r="P8" s="29"/>
      <c r="Q8" s="29"/>
    </row>
    <row r="9">
      <c r="A9" s="27">
        <f t="shared" si="1"/>
        <v>3</v>
      </c>
      <c r="B9" s="28">
        <v>0.0</v>
      </c>
      <c r="C9" s="30">
        <v>9.0</v>
      </c>
      <c r="D9" s="30">
        <f>IF(B3=0,3,0)</f>
        <v>3</v>
      </c>
      <c r="E9" s="30">
        <f>IF(B18=0,18,0)</f>
        <v>18</v>
      </c>
      <c r="F9" s="30">
        <f>IF(B27=0,27,0)</f>
        <v>27</v>
      </c>
      <c r="G9" s="32"/>
      <c r="H9" s="32"/>
      <c r="I9" s="32"/>
      <c r="J9" s="32"/>
      <c r="K9" s="32"/>
      <c r="L9" s="32"/>
      <c r="M9" s="29"/>
      <c r="N9" s="29"/>
      <c r="O9" s="29"/>
      <c r="P9" s="29"/>
      <c r="Q9" s="29"/>
    </row>
    <row r="10">
      <c r="A10" s="9">
        <f t="shared" si="1"/>
        <v>4</v>
      </c>
      <c r="B10" s="28">
        <v>0.0</v>
      </c>
      <c r="C10" s="30">
        <v>10.0</v>
      </c>
      <c r="D10" s="30">
        <f>IF(B2=0,2,0)</f>
        <v>2</v>
      </c>
      <c r="E10" s="30">
        <f>IF(B5=0,5,0)</f>
        <v>5</v>
      </c>
      <c r="F10" s="30">
        <f>IF(B20=0,20,0)</f>
        <v>20</v>
      </c>
      <c r="G10" s="30">
        <f>IF(B30=0,30,0)</f>
        <v>30</v>
      </c>
      <c r="H10" s="32"/>
      <c r="I10" s="32"/>
      <c r="J10" s="32"/>
      <c r="K10" s="32"/>
      <c r="L10" s="32"/>
      <c r="M10" s="29"/>
      <c r="N10" s="29"/>
      <c r="O10" s="29"/>
      <c r="P10" s="29"/>
      <c r="Q10" s="29"/>
    </row>
    <row r="11">
      <c r="A11" s="27">
        <f t="shared" si="1"/>
        <v>1</v>
      </c>
      <c r="B11" s="28">
        <v>0.0</v>
      </c>
      <c r="C11" s="30">
        <v>11.0</v>
      </c>
      <c r="D11" s="30">
        <f>IF(B22=0,22,0)</f>
        <v>22</v>
      </c>
      <c r="E11" s="32"/>
      <c r="F11" s="32"/>
      <c r="G11" s="32"/>
      <c r="H11" s="32"/>
      <c r="I11" s="32"/>
      <c r="J11" s="32"/>
      <c r="K11" s="32"/>
      <c r="L11" s="32"/>
      <c r="M11" s="29"/>
      <c r="N11" s="29"/>
      <c r="O11" s="29"/>
      <c r="P11" s="29"/>
      <c r="Q11" s="29"/>
    </row>
    <row r="12">
      <c r="A12" s="9">
        <f t="shared" si="1"/>
        <v>5</v>
      </c>
      <c r="B12" s="28">
        <v>0.0</v>
      </c>
      <c r="C12" s="30">
        <v>12.0</v>
      </c>
      <c r="D12" s="30">
        <f>IF(B2=0,2,0)</f>
        <v>2</v>
      </c>
      <c r="E12" s="30">
        <f>IF(B3=0,3,0)</f>
        <v>3</v>
      </c>
      <c r="F12" s="30">
        <f>IF(B4=0,4,0)</f>
        <v>4</v>
      </c>
      <c r="G12" s="30">
        <f>IF(B6=0,6,0)</f>
        <v>6</v>
      </c>
      <c r="H12" s="30">
        <f>IF(B24=0,24,0)</f>
        <v>24</v>
      </c>
      <c r="I12" s="32"/>
      <c r="J12" s="32"/>
      <c r="K12" s="32"/>
      <c r="L12" s="32"/>
      <c r="M12" s="29"/>
      <c r="N12" s="29"/>
      <c r="O12" s="29"/>
      <c r="P12" s="29"/>
      <c r="Q12" s="29"/>
    </row>
    <row r="13">
      <c r="A13" s="27">
        <f t="shared" si="1"/>
        <v>1</v>
      </c>
      <c r="B13" s="28">
        <v>0.0</v>
      </c>
      <c r="C13" s="30">
        <v>13.0</v>
      </c>
      <c r="D13" s="30">
        <f>IF(B26=0,26,0)</f>
        <v>26</v>
      </c>
      <c r="E13" s="32"/>
      <c r="F13" s="32"/>
      <c r="G13" s="32"/>
      <c r="H13" s="32"/>
      <c r="I13" s="32"/>
      <c r="J13" s="32"/>
      <c r="K13" s="32"/>
      <c r="L13" s="32"/>
      <c r="M13" s="29"/>
      <c r="N13" s="29"/>
      <c r="O13" s="29"/>
      <c r="P13" s="29"/>
      <c r="Q13" s="29"/>
    </row>
    <row r="14">
      <c r="A14" s="9">
        <f t="shared" si="1"/>
        <v>3</v>
      </c>
      <c r="B14" s="28">
        <v>0.0</v>
      </c>
      <c r="C14" s="30">
        <v>14.0</v>
      </c>
      <c r="D14" s="30">
        <f>IF(B2=0,2,0)</f>
        <v>2</v>
      </c>
      <c r="E14" s="30">
        <f>IF(B7=0,7,0)</f>
        <v>7</v>
      </c>
      <c r="F14" s="30">
        <f>IF(B28=0,28,0)</f>
        <v>28</v>
      </c>
      <c r="G14" s="32"/>
      <c r="H14" s="32"/>
      <c r="I14" s="32"/>
      <c r="J14" s="33"/>
      <c r="K14" s="32"/>
      <c r="L14" s="32"/>
      <c r="M14" s="29"/>
      <c r="N14" s="29"/>
      <c r="O14" s="29"/>
      <c r="P14" s="29"/>
      <c r="Q14" s="29"/>
    </row>
    <row r="15">
      <c r="A15" s="27">
        <f t="shared" si="1"/>
        <v>3</v>
      </c>
      <c r="B15" s="28">
        <v>0.0</v>
      </c>
      <c r="C15" s="30">
        <v>15.0</v>
      </c>
      <c r="D15" s="34">
        <f>IF(B3=0,3,0)</f>
        <v>3</v>
      </c>
      <c r="E15" s="30">
        <f>IF(B5=0,5,0)</f>
        <v>5</v>
      </c>
      <c r="F15" s="30">
        <f>IF(B30=0,30,0)</f>
        <v>30</v>
      </c>
      <c r="G15" s="32"/>
      <c r="H15" s="32"/>
      <c r="I15" s="32"/>
      <c r="J15" s="32"/>
      <c r="K15" s="32"/>
      <c r="L15" s="32"/>
      <c r="M15" s="29"/>
      <c r="N15" s="29"/>
      <c r="O15" s="29"/>
      <c r="P15" s="29"/>
      <c r="Q15" s="29"/>
    </row>
    <row r="16">
      <c r="A16" s="9">
        <f t="shared" si="1"/>
        <v>3</v>
      </c>
      <c r="B16" s="28">
        <v>0.0</v>
      </c>
      <c r="C16" s="30">
        <v>16.0</v>
      </c>
      <c r="D16" s="30">
        <f>IF(B2=0,2,0)</f>
        <v>2</v>
      </c>
      <c r="E16" s="30">
        <f>IF(B4=0,4,0)</f>
        <v>4</v>
      </c>
      <c r="F16" s="30">
        <f>IF(B8=0,8,0)</f>
        <v>8</v>
      </c>
      <c r="G16" s="32"/>
      <c r="H16" s="32"/>
      <c r="I16" s="32"/>
      <c r="J16" s="32"/>
      <c r="K16" s="32"/>
      <c r="L16" s="32"/>
      <c r="M16" s="29"/>
      <c r="N16" s="29"/>
      <c r="O16" s="29"/>
      <c r="P16" s="29"/>
      <c r="Q16" s="29"/>
    </row>
    <row r="17">
      <c r="A17" s="27">
        <f t="shared" si="1"/>
        <v>0</v>
      </c>
      <c r="B17" s="28">
        <v>0.0</v>
      </c>
      <c r="C17" s="30">
        <v>17.0</v>
      </c>
      <c r="D17" s="32"/>
      <c r="E17" s="32"/>
      <c r="F17" s="32"/>
      <c r="G17" s="32"/>
      <c r="H17" s="32"/>
      <c r="I17" s="32"/>
      <c r="J17" s="32"/>
      <c r="K17" s="32"/>
      <c r="L17" s="32"/>
      <c r="M17" s="29"/>
      <c r="N17" s="29"/>
      <c r="O17" s="29"/>
      <c r="P17" s="29"/>
      <c r="Q17" s="29"/>
    </row>
    <row r="18">
      <c r="A18" s="9">
        <f t="shared" si="1"/>
        <v>4</v>
      </c>
      <c r="B18" s="28">
        <v>0.0</v>
      </c>
      <c r="C18" s="30">
        <v>18.0</v>
      </c>
      <c r="D18" s="30">
        <f>IF(B2=0,2,0)</f>
        <v>2</v>
      </c>
      <c r="E18" s="30">
        <f>IF(B3=0,3,0)</f>
        <v>3</v>
      </c>
      <c r="F18" s="30">
        <f>IF(B6=0,6,0)</f>
        <v>6</v>
      </c>
      <c r="G18" s="30">
        <f>IF(B9=0,9,0)</f>
        <v>9</v>
      </c>
      <c r="H18" s="32"/>
      <c r="I18" s="32"/>
      <c r="J18" s="32"/>
      <c r="K18" s="32"/>
      <c r="L18" s="32"/>
      <c r="M18" s="29"/>
      <c r="N18" s="29"/>
      <c r="O18" s="29"/>
      <c r="P18" s="29"/>
      <c r="Q18" s="29"/>
    </row>
    <row r="19">
      <c r="A19" s="27">
        <f t="shared" si="1"/>
        <v>0</v>
      </c>
      <c r="B19" s="28">
        <v>0.0</v>
      </c>
      <c r="C19" s="30">
        <v>19.0</v>
      </c>
      <c r="D19" s="32"/>
      <c r="E19" s="32"/>
      <c r="F19" s="32"/>
      <c r="G19" s="32"/>
      <c r="H19" s="32"/>
      <c r="I19" s="32"/>
      <c r="J19" s="32"/>
      <c r="K19" s="32"/>
      <c r="L19" s="32"/>
      <c r="M19" s="29"/>
      <c r="N19" s="29"/>
      <c r="O19" s="29"/>
      <c r="P19" s="29"/>
      <c r="Q19" s="29"/>
    </row>
    <row r="20">
      <c r="A20" s="9">
        <f t="shared" si="1"/>
        <v>4</v>
      </c>
      <c r="B20" s="28">
        <v>0.0</v>
      </c>
      <c r="C20" s="30">
        <v>20.0</v>
      </c>
      <c r="D20" s="30">
        <f>IF(B2=0,2,0)</f>
        <v>2</v>
      </c>
      <c r="E20" s="30">
        <f>IF(B4=0,4,0)</f>
        <v>4</v>
      </c>
      <c r="F20" s="30">
        <f>IF(B5=0,5,0)</f>
        <v>5</v>
      </c>
      <c r="G20" s="30">
        <f>IF(B10=0,10,0)</f>
        <v>10</v>
      </c>
      <c r="H20" s="32"/>
      <c r="I20" s="32"/>
      <c r="J20" s="32"/>
      <c r="K20" s="32"/>
      <c r="L20" s="32"/>
      <c r="M20" s="29"/>
      <c r="N20" s="29"/>
      <c r="O20" s="29"/>
      <c r="P20" s="29"/>
      <c r="Q20" s="29"/>
    </row>
    <row r="21">
      <c r="A21" s="27">
        <f t="shared" si="1"/>
        <v>2</v>
      </c>
      <c r="B21" s="28">
        <v>0.0</v>
      </c>
      <c r="C21" s="30">
        <v>21.0</v>
      </c>
      <c r="D21" s="30">
        <f>IF(B3=0,3,0)</f>
        <v>3</v>
      </c>
      <c r="E21" s="30">
        <f>IF(B7=0,7,0)</f>
        <v>7</v>
      </c>
      <c r="F21" s="32"/>
      <c r="G21" s="32"/>
      <c r="H21" s="32"/>
      <c r="I21" s="32"/>
      <c r="J21" s="32"/>
      <c r="K21" s="32"/>
      <c r="L21" s="32"/>
      <c r="M21" s="29"/>
      <c r="N21" s="29"/>
      <c r="O21" s="29"/>
      <c r="P21" s="29"/>
      <c r="Q21" s="29"/>
    </row>
    <row r="22">
      <c r="A22" s="9">
        <f t="shared" si="1"/>
        <v>2</v>
      </c>
      <c r="B22" s="28">
        <v>0.0</v>
      </c>
      <c r="C22" s="30">
        <v>22.0</v>
      </c>
      <c r="D22" s="30">
        <f>IF(B2=0,2,0)</f>
        <v>2</v>
      </c>
      <c r="E22" s="30">
        <f>IF(B11=0,11,0)</f>
        <v>11</v>
      </c>
      <c r="F22" s="32"/>
      <c r="G22" s="32"/>
      <c r="H22" s="32"/>
      <c r="I22" s="32"/>
      <c r="J22" s="32"/>
      <c r="K22" s="32"/>
      <c r="L22" s="32"/>
      <c r="M22" s="29"/>
      <c r="N22" s="29"/>
      <c r="O22" s="29"/>
      <c r="P22" s="29"/>
      <c r="Q22" s="29"/>
    </row>
    <row r="23">
      <c r="A23" s="27">
        <f t="shared" si="1"/>
        <v>0</v>
      </c>
      <c r="B23" s="28">
        <v>0.0</v>
      </c>
      <c r="C23" s="30">
        <v>23.0</v>
      </c>
      <c r="D23" s="32"/>
      <c r="E23" s="32"/>
      <c r="F23" s="32"/>
      <c r="G23" s="32"/>
      <c r="H23" s="32"/>
      <c r="I23" s="32"/>
      <c r="J23" s="32"/>
      <c r="K23" s="32"/>
      <c r="L23" s="32"/>
      <c r="M23" s="29"/>
      <c r="N23" s="29"/>
      <c r="O23" s="29"/>
      <c r="P23" s="29"/>
      <c r="Q23" s="29"/>
    </row>
    <row r="24">
      <c r="A24" s="9">
        <f t="shared" si="1"/>
        <v>6</v>
      </c>
      <c r="B24" s="28">
        <v>0.0</v>
      </c>
      <c r="C24" s="30">
        <v>24.0</v>
      </c>
      <c r="D24" s="30">
        <f>IF(B2=0,2,0)</f>
        <v>2</v>
      </c>
      <c r="E24" s="30">
        <f>IF(B3=0,3,0)</f>
        <v>3</v>
      </c>
      <c r="F24" s="30">
        <f>IF(B4=0,4,0)</f>
        <v>4</v>
      </c>
      <c r="G24" s="30">
        <f>IF(B6=0,6,0)</f>
        <v>6</v>
      </c>
      <c r="H24" s="30">
        <f>IF(B8=0,8,0)</f>
        <v>8</v>
      </c>
      <c r="I24" s="30">
        <f>IF(B12=0,12,0)</f>
        <v>12</v>
      </c>
      <c r="J24" s="32"/>
      <c r="K24" s="32"/>
      <c r="L24" s="32"/>
      <c r="M24" s="29"/>
      <c r="N24" s="29"/>
      <c r="O24" s="29"/>
      <c r="P24" s="29"/>
      <c r="Q24" s="29"/>
    </row>
    <row r="25">
      <c r="A25" s="27">
        <f t="shared" si="1"/>
        <v>1</v>
      </c>
      <c r="B25" s="28">
        <v>0.0</v>
      </c>
      <c r="C25" s="30">
        <v>25.0</v>
      </c>
      <c r="D25" s="30">
        <f>IF(B5=0,5,0)</f>
        <v>5</v>
      </c>
      <c r="E25" s="32"/>
      <c r="F25" s="32"/>
      <c r="G25" s="32"/>
      <c r="H25" s="32"/>
      <c r="I25" s="32"/>
      <c r="J25" s="32"/>
      <c r="K25" s="32"/>
      <c r="L25" s="32"/>
      <c r="M25" s="29"/>
      <c r="N25" s="29"/>
      <c r="O25" s="29"/>
      <c r="P25" s="29"/>
      <c r="Q25" s="29"/>
    </row>
    <row r="26">
      <c r="A26" s="9">
        <f t="shared" si="1"/>
        <v>1</v>
      </c>
      <c r="B26" s="28">
        <v>0.0</v>
      </c>
      <c r="C26" s="30">
        <v>26.0</v>
      </c>
      <c r="D26" s="30">
        <f>IF(B2=0,2,0)</f>
        <v>2</v>
      </c>
      <c r="E26" s="30">
        <f>IF(B13=0,13,0)</f>
        <v>13</v>
      </c>
      <c r="F26" s="32"/>
      <c r="G26" s="32"/>
      <c r="H26" s="32"/>
      <c r="I26" s="32"/>
      <c r="J26" s="32"/>
      <c r="K26" s="32"/>
      <c r="L26" s="32"/>
      <c r="M26" s="29"/>
      <c r="N26" s="29"/>
      <c r="O26" s="29"/>
      <c r="P26" s="29"/>
      <c r="Q26" s="29"/>
    </row>
    <row r="27">
      <c r="A27" s="27">
        <f t="shared" si="1"/>
        <v>1</v>
      </c>
      <c r="B27" s="28">
        <v>0.0</v>
      </c>
      <c r="C27" s="30">
        <v>27.0</v>
      </c>
      <c r="D27" s="30">
        <f>IF(B3=0,3,0)</f>
        <v>3</v>
      </c>
      <c r="E27" s="30">
        <f>IF(B9=0,9,0)</f>
        <v>9</v>
      </c>
      <c r="F27" s="32"/>
      <c r="G27" s="32"/>
      <c r="H27" s="32"/>
      <c r="I27" s="32"/>
      <c r="J27" s="32"/>
      <c r="K27" s="32"/>
      <c r="L27" s="32"/>
      <c r="M27" s="29"/>
      <c r="N27" s="29"/>
      <c r="O27" s="29"/>
      <c r="P27" s="29"/>
      <c r="Q27" s="29"/>
    </row>
    <row r="28">
      <c r="A28" s="9">
        <f t="shared" si="1"/>
        <v>4</v>
      </c>
      <c r="B28" s="28">
        <v>0.0</v>
      </c>
      <c r="C28" s="30">
        <v>28.0</v>
      </c>
      <c r="D28" s="30">
        <f>IF(B2=0,2,0)</f>
        <v>2</v>
      </c>
      <c r="E28" s="30">
        <f>IF(B4=0,4,0)</f>
        <v>4</v>
      </c>
      <c r="F28" s="30">
        <f>IF(B7=0,7,0)</f>
        <v>7</v>
      </c>
      <c r="G28" s="30">
        <f>IF(B14=0,14,0)</f>
        <v>14</v>
      </c>
      <c r="H28" s="32"/>
      <c r="I28" s="32"/>
      <c r="J28" s="32"/>
      <c r="K28" s="32"/>
      <c r="L28" s="32"/>
      <c r="M28" s="29"/>
      <c r="N28" s="29"/>
      <c r="O28" s="29"/>
      <c r="P28" s="29"/>
      <c r="Q28" s="29"/>
    </row>
    <row r="29">
      <c r="A29" s="27">
        <f t="shared" si="1"/>
        <v>0</v>
      </c>
      <c r="B29" s="28">
        <v>0.0</v>
      </c>
      <c r="C29" s="30">
        <v>29.0</v>
      </c>
      <c r="D29" s="32"/>
      <c r="E29" s="32"/>
      <c r="F29" s="32"/>
      <c r="G29" s="32"/>
      <c r="H29" s="32"/>
      <c r="I29" s="32"/>
      <c r="J29" s="32"/>
      <c r="K29" s="32"/>
      <c r="L29" s="32"/>
      <c r="M29" s="29"/>
      <c r="N29" s="29"/>
      <c r="O29" s="29"/>
      <c r="P29" s="29"/>
      <c r="Q29" s="29"/>
    </row>
    <row r="30">
      <c r="A30" s="9">
        <f t="shared" si="1"/>
        <v>6</v>
      </c>
      <c r="B30" s="28">
        <v>0.0</v>
      </c>
      <c r="C30" s="30">
        <v>30.0</v>
      </c>
      <c r="D30" s="30">
        <f>IF(B2=0,2,0)</f>
        <v>2</v>
      </c>
      <c r="E30" s="30">
        <f>IF(B3=0,3,0)</f>
        <v>3</v>
      </c>
      <c r="F30" s="30">
        <f>IF(B5=0,5,0)</f>
        <v>5</v>
      </c>
      <c r="G30" s="30">
        <f>IF(B6=0,6,0)</f>
        <v>6</v>
      </c>
      <c r="H30" s="30">
        <f>IF(B10=0,10,0)</f>
        <v>10</v>
      </c>
      <c r="I30" s="30">
        <f>IF(B15=0,15,0)</f>
        <v>15</v>
      </c>
      <c r="J30" s="32"/>
      <c r="K30" s="32"/>
      <c r="L30" s="32"/>
      <c r="M30" s="29"/>
      <c r="N30" s="29"/>
      <c r="O30" s="29"/>
      <c r="P30" s="29"/>
      <c r="Q30" s="29"/>
    </row>
    <row r="31">
      <c r="B31" s="9"/>
    </row>
    <row r="35">
      <c r="A35" s="9" t="s">
        <v>5</v>
      </c>
      <c r="B35" s="9" t="s">
        <v>2</v>
      </c>
    </row>
    <row r="36">
      <c r="A36" s="9" t="s">
        <v>6</v>
      </c>
      <c r="Q36" s="9" t="s">
        <v>8</v>
      </c>
    </row>
    <row r="37">
      <c r="A37" s="9">
        <f t="shared" ref="A37:A65" si="2">B2</f>
        <v>0</v>
      </c>
      <c r="B37" s="9">
        <v>2.0</v>
      </c>
      <c r="C37" s="26">
        <f>IF(A39=0,1,0)</f>
        <v>1</v>
      </c>
      <c r="D37" s="26">
        <f>IF(A41=0,1,0)</f>
        <v>1</v>
      </c>
      <c r="E37" s="26">
        <f>IF(A43=0,1,0)</f>
        <v>1</v>
      </c>
      <c r="F37" s="26">
        <f>IF(A45=0,1,0)</f>
        <v>1</v>
      </c>
      <c r="G37" s="26">
        <f>IF(A47=0,1,0)</f>
        <v>1</v>
      </c>
      <c r="H37" s="26">
        <f>IF(A49=0,1,0)</f>
        <v>1</v>
      </c>
      <c r="I37" s="26">
        <f>IF(A51=0,1,0)</f>
        <v>1</v>
      </c>
      <c r="J37" s="26">
        <f>IF(A53=0,1,0)</f>
        <v>1</v>
      </c>
      <c r="K37" s="26">
        <f>IF(A55=0,1,0)</f>
        <v>1</v>
      </c>
      <c r="L37" s="26">
        <f>IF(A57=0,1,0)</f>
        <v>1</v>
      </c>
      <c r="M37" s="26">
        <f>IF(A59=0,1,0)</f>
        <v>1</v>
      </c>
      <c r="N37" s="26">
        <f>IF(A61=0,1,0)</f>
        <v>1</v>
      </c>
      <c r="O37" s="26">
        <f>IF(A63=0,1,0)</f>
        <v>1</v>
      </c>
      <c r="P37" s="26">
        <f>IF(A65=0,1,0)</f>
        <v>1</v>
      </c>
      <c r="Q37" s="27">
        <f t="shared" ref="Q37:Q60" si="3">SUM(C37:P37)</f>
        <v>14</v>
      </c>
      <c r="R37" s="9">
        <v>2.0</v>
      </c>
    </row>
    <row r="38">
      <c r="A38" s="9">
        <f t="shared" si="2"/>
        <v>0</v>
      </c>
      <c r="B38" s="9">
        <v>3.0</v>
      </c>
      <c r="C38" s="26">
        <f>IF(A41=0,1,0)</f>
        <v>1</v>
      </c>
      <c r="D38" s="26">
        <f>IF(A44=0,1,0)</f>
        <v>1</v>
      </c>
      <c r="E38" s="26">
        <f>IF(A47=0,1,0)</f>
        <v>1</v>
      </c>
      <c r="F38" s="26">
        <f t="shared" ref="F38:F39" si="4">IF(A50=0,1,0)</f>
        <v>1</v>
      </c>
      <c r="G38" s="26">
        <f>IF(A53=0,1,0)</f>
        <v>1</v>
      </c>
      <c r="H38" s="26">
        <f>IF(A56=0,1,0)</f>
        <v>1</v>
      </c>
      <c r="I38" s="26">
        <f>IF(A59=0,1,0)</f>
        <v>1</v>
      </c>
      <c r="J38" s="26">
        <f>IF(A62=0,1,0)</f>
        <v>1</v>
      </c>
      <c r="K38" s="26">
        <f>IF(A63=0,1,0)</f>
        <v>1</v>
      </c>
      <c r="L38" s="26">
        <v>0.0</v>
      </c>
      <c r="M38" s="26">
        <v>0.0</v>
      </c>
      <c r="N38" s="26">
        <v>0.0</v>
      </c>
      <c r="O38" s="26">
        <v>0.0</v>
      </c>
      <c r="P38" s="26">
        <v>0.0</v>
      </c>
      <c r="Q38" s="27">
        <f t="shared" si="3"/>
        <v>9</v>
      </c>
      <c r="R38" s="9">
        <v>3.0</v>
      </c>
    </row>
    <row r="39">
      <c r="A39" s="9">
        <f t="shared" si="2"/>
        <v>0</v>
      </c>
      <c r="B39" s="9">
        <v>4.0</v>
      </c>
      <c r="C39" s="26">
        <f>IF(A37=0,1,0)</f>
        <v>1</v>
      </c>
      <c r="D39" s="26">
        <f>IF(A43=0,1,0)</f>
        <v>1</v>
      </c>
      <c r="E39" s="26">
        <f>IF(A47=0,1,0)</f>
        <v>1</v>
      </c>
      <c r="F39" s="26">
        <f t="shared" si="4"/>
        <v>1</v>
      </c>
      <c r="G39" s="26">
        <f>IF(A55=0,1,0)</f>
        <v>1</v>
      </c>
      <c r="H39" s="26">
        <f>IF(A59=0,1,0)</f>
        <v>1</v>
      </c>
      <c r="I39" s="26">
        <f>IF(A65=0,1,0)</f>
        <v>1</v>
      </c>
      <c r="J39" s="26">
        <v>0.0</v>
      </c>
      <c r="K39" s="26">
        <v>0.0</v>
      </c>
      <c r="L39" s="26">
        <v>0.0</v>
      </c>
      <c r="M39" s="26">
        <v>0.0</v>
      </c>
      <c r="N39" s="26">
        <v>0.0</v>
      </c>
      <c r="O39" s="26">
        <v>0.0</v>
      </c>
      <c r="P39" s="26">
        <v>0.0</v>
      </c>
      <c r="Q39" s="27">
        <f t="shared" si="3"/>
        <v>7</v>
      </c>
      <c r="R39" s="9">
        <v>4.0</v>
      </c>
    </row>
    <row r="40">
      <c r="A40" s="9">
        <f t="shared" si="2"/>
        <v>0</v>
      </c>
      <c r="B40" s="9">
        <v>5.0</v>
      </c>
      <c r="C40" s="26">
        <f>IF(A45=0,1,0)</f>
        <v>1</v>
      </c>
      <c r="D40" s="26">
        <f>IF(A50=0,1,0)</f>
        <v>1</v>
      </c>
      <c r="E40" s="26">
        <f>IF(A55=0,1,0)</f>
        <v>1</v>
      </c>
      <c r="F40" s="26">
        <f>IF(A60=0,1,0)</f>
        <v>1</v>
      </c>
      <c r="G40" s="26">
        <f>IF(A65=0,1,0)</f>
        <v>1</v>
      </c>
      <c r="H40" s="26">
        <v>0.0</v>
      </c>
      <c r="I40" s="26">
        <v>0.0</v>
      </c>
      <c r="J40" s="26">
        <v>0.0</v>
      </c>
      <c r="K40" s="26">
        <v>0.0</v>
      </c>
      <c r="L40" s="26">
        <v>0.0</v>
      </c>
      <c r="M40" s="26">
        <v>0.0</v>
      </c>
      <c r="N40" s="26">
        <v>0.0</v>
      </c>
      <c r="O40" s="26">
        <v>0.0</v>
      </c>
      <c r="P40" s="26">
        <v>0.0</v>
      </c>
      <c r="Q40" s="27">
        <f t="shared" si="3"/>
        <v>5</v>
      </c>
      <c r="R40" s="9">
        <v>5.0</v>
      </c>
    </row>
    <row r="41">
      <c r="A41" s="9">
        <f t="shared" si="2"/>
        <v>0</v>
      </c>
      <c r="B41" s="9">
        <v>6.0</v>
      </c>
      <c r="C41" s="26">
        <f>IF(A37=0,1,0)</f>
        <v>1</v>
      </c>
      <c r="D41" s="26">
        <f>IF(A38=0,1,0)</f>
        <v>1</v>
      </c>
      <c r="E41" s="26">
        <f>IF(A47=0,1,0)</f>
        <v>1</v>
      </c>
      <c r="F41" s="26">
        <f>IF(A53=0,1,0)</f>
        <v>1</v>
      </c>
      <c r="G41" s="26">
        <f>IF(A59=0,1,0)</f>
        <v>1</v>
      </c>
      <c r="H41" s="26">
        <f>IF(A65=0,1,0)</f>
        <v>1</v>
      </c>
      <c r="I41" s="26">
        <v>0.0</v>
      </c>
      <c r="J41" s="26">
        <v>0.0</v>
      </c>
      <c r="K41" s="26">
        <v>0.0</v>
      </c>
      <c r="L41" s="26">
        <v>0.0</v>
      </c>
      <c r="M41" s="26">
        <v>0.0</v>
      </c>
      <c r="N41" s="26">
        <v>0.0</v>
      </c>
      <c r="O41" s="26">
        <v>0.0</v>
      </c>
      <c r="P41" s="26">
        <v>0.0</v>
      </c>
      <c r="Q41" s="27">
        <f t="shared" si="3"/>
        <v>6</v>
      </c>
      <c r="R41" s="9">
        <v>6.0</v>
      </c>
    </row>
    <row r="42">
      <c r="A42" s="9">
        <f t="shared" si="2"/>
        <v>0</v>
      </c>
      <c r="B42" s="9">
        <v>7.0</v>
      </c>
      <c r="C42" s="26">
        <f>IF(A49=0,1,0)</f>
        <v>1</v>
      </c>
      <c r="D42" s="26">
        <f>IF(A56=0,1,0)</f>
        <v>1</v>
      </c>
      <c r="E42" s="26">
        <f>IF(A63=0,1,0)</f>
        <v>1</v>
      </c>
      <c r="F42" s="26">
        <v>0.0</v>
      </c>
      <c r="G42" s="26">
        <v>0.0</v>
      </c>
      <c r="H42" s="26">
        <v>0.0</v>
      </c>
      <c r="I42" s="26">
        <v>0.0</v>
      </c>
      <c r="J42" s="26">
        <v>0.0</v>
      </c>
      <c r="K42" s="26">
        <v>0.0</v>
      </c>
      <c r="L42" s="26">
        <v>0.0</v>
      </c>
      <c r="M42" s="26">
        <v>0.0</v>
      </c>
      <c r="N42" s="26">
        <v>0.0</v>
      </c>
      <c r="O42" s="26">
        <v>0.0</v>
      </c>
      <c r="P42" s="26">
        <v>0.0</v>
      </c>
      <c r="Q42" s="27">
        <f t="shared" si="3"/>
        <v>3</v>
      </c>
      <c r="R42" s="9">
        <v>7.0</v>
      </c>
    </row>
    <row r="43">
      <c r="A43" s="9">
        <f t="shared" si="2"/>
        <v>0</v>
      </c>
      <c r="B43" s="9">
        <v>8.0</v>
      </c>
      <c r="C43" s="26">
        <f t="shared" ref="C43:C44" si="5">IF(A37=0,1,0)</f>
        <v>1</v>
      </c>
      <c r="D43" s="26">
        <f>IF(A39=0,1,0)</f>
        <v>1</v>
      </c>
      <c r="E43" s="26">
        <f>IF(A51=0,1,0)</f>
        <v>1</v>
      </c>
      <c r="F43" s="26">
        <f>IF(A59=0,1,0)</f>
        <v>1</v>
      </c>
      <c r="G43" s="26">
        <v>0.0</v>
      </c>
      <c r="H43" s="26">
        <v>0.0</v>
      </c>
      <c r="I43" s="26">
        <v>0.0</v>
      </c>
      <c r="J43" s="26">
        <v>0.0</v>
      </c>
      <c r="K43" s="26">
        <v>0.0</v>
      </c>
      <c r="L43" s="26">
        <v>0.0</v>
      </c>
      <c r="M43" s="26">
        <v>0.0</v>
      </c>
      <c r="N43" s="26">
        <v>0.0</v>
      </c>
      <c r="O43" s="26">
        <v>0.0</v>
      </c>
      <c r="P43" s="26">
        <v>0.0</v>
      </c>
      <c r="Q43" s="27">
        <f t="shared" si="3"/>
        <v>4</v>
      </c>
      <c r="R43" s="9">
        <v>8.0</v>
      </c>
    </row>
    <row r="44">
      <c r="A44" s="9">
        <f t="shared" si="2"/>
        <v>0</v>
      </c>
      <c r="B44" s="9">
        <v>9.0</v>
      </c>
      <c r="C44" s="26">
        <f t="shared" si="5"/>
        <v>1</v>
      </c>
      <c r="D44" s="26">
        <f>IF(A53=0,1,0)</f>
        <v>1</v>
      </c>
      <c r="E44" s="26">
        <f>IF(A62=0,1,0)</f>
        <v>1</v>
      </c>
      <c r="F44" s="26">
        <v>0.0</v>
      </c>
      <c r="G44" s="26">
        <v>0.0</v>
      </c>
      <c r="H44" s="26">
        <v>0.0</v>
      </c>
      <c r="I44" s="26">
        <v>0.0</v>
      </c>
      <c r="J44" s="26">
        <v>0.0</v>
      </c>
      <c r="K44" s="26">
        <v>0.0</v>
      </c>
      <c r="L44" s="26">
        <v>0.0</v>
      </c>
      <c r="M44" s="26">
        <v>0.0</v>
      </c>
      <c r="N44" s="26">
        <v>0.0</v>
      </c>
      <c r="O44" s="26">
        <v>0.0</v>
      </c>
      <c r="P44" s="26">
        <v>0.0</v>
      </c>
      <c r="Q44" s="27">
        <f t="shared" si="3"/>
        <v>3</v>
      </c>
      <c r="R44" s="9">
        <v>9.0</v>
      </c>
    </row>
    <row r="45">
      <c r="A45" s="9">
        <f t="shared" si="2"/>
        <v>0</v>
      </c>
      <c r="B45" s="9">
        <v>10.0</v>
      </c>
      <c r="C45" s="26">
        <f>IF(A37=0,1,0)</f>
        <v>1</v>
      </c>
      <c r="D45" s="26">
        <f>IF(A40=0,1,0)</f>
        <v>1</v>
      </c>
      <c r="E45" s="26">
        <f>IF(A55=0,1,0)</f>
        <v>1</v>
      </c>
      <c r="F45" s="26">
        <f>IF(A65=0,1,0)</f>
        <v>1</v>
      </c>
      <c r="G45" s="26">
        <v>0.0</v>
      </c>
      <c r="H45" s="26">
        <v>0.0</v>
      </c>
      <c r="I45" s="26">
        <v>0.0</v>
      </c>
      <c r="J45" s="26">
        <v>0.0</v>
      </c>
      <c r="K45" s="26">
        <v>0.0</v>
      </c>
      <c r="L45" s="26">
        <v>0.0</v>
      </c>
      <c r="M45" s="26">
        <v>0.0</v>
      </c>
      <c r="N45" s="26">
        <v>0.0</v>
      </c>
      <c r="O45" s="26">
        <v>0.0</v>
      </c>
      <c r="P45" s="26">
        <v>0.0</v>
      </c>
      <c r="Q45" s="27">
        <f t="shared" si="3"/>
        <v>4</v>
      </c>
      <c r="R45" s="9">
        <v>10.0</v>
      </c>
    </row>
    <row r="46">
      <c r="A46" s="9">
        <f t="shared" si="2"/>
        <v>0</v>
      </c>
      <c r="B46" s="9">
        <v>11.0</v>
      </c>
      <c r="C46" s="26">
        <f>IF(A57=0,1,0)</f>
        <v>1</v>
      </c>
      <c r="D46" s="26">
        <v>0.0</v>
      </c>
      <c r="E46" s="26">
        <v>0.0</v>
      </c>
      <c r="F46" s="26">
        <v>0.0</v>
      </c>
      <c r="G46" s="26">
        <v>0.0</v>
      </c>
      <c r="H46" s="26">
        <v>0.0</v>
      </c>
      <c r="I46" s="26">
        <v>0.0</v>
      </c>
      <c r="J46" s="26">
        <v>0.0</v>
      </c>
      <c r="K46" s="26">
        <v>0.0</v>
      </c>
      <c r="L46" s="26">
        <v>0.0</v>
      </c>
      <c r="M46" s="26">
        <v>0.0</v>
      </c>
      <c r="N46" s="26">
        <v>0.0</v>
      </c>
      <c r="O46" s="26">
        <v>0.0</v>
      </c>
      <c r="P46" s="26">
        <v>0.0</v>
      </c>
      <c r="Q46" s="27">
        <f t="shared" si="3"/>
        <v>1</v>
      </c>
      <c r="R46" s="9">
        <v>11.0</v>
      </c>
    </row>
    <row r="47">
      <c r="A47" s="9">
        <f t="shared" si="2"/>
        <v>0</v>
      </c>
      <c r="B47" s="9">
        <v>12.0</v>
      </c>
      <c r="C47" s="26">
        <f>IF(A37=0,1,0)</f>
        <v>1</v>
      </c>
      <c r="D47" s="26">
        <f>IF(A38=0,1,0)</f>
        <v>1</v>
      </c>
      <c r="E47" s="26">
        <f>IF(A39=0,1,0)</f>
        <v>1</v>
      </c>
      <c r="F47" s="26">
        <f>IF(A41=0,1,0)</f>
        <v>1</v>
      </c>
      <c r="G47" s="26">
        <f>IF(A59=0,1,0)</f>
        <v>1</v>
      </c>
      <c r="H47" s="26">
        <v>0.0</v>
      </c>
      <c r="I47" s="26">
        <v>0.0</v>
      </c>
      <c r="J47" s="26">
        <v>0.0</v>
      </c>
      <c r="K47" s="26">
        <v>0.0</v>
      </c>
      <c r="L47" s="26">
        <v>0.0</v>
      </c>
      <c r="M47" s="26">
        <v>0.0</v>
      </c>
      <c r="N47" s="26">
        <v>0.0</v>
      </c>
      <c r="O47" s="26">
        <v>0.0</v>
      </c>
      <c r="P47" s="26">
        <v>0.0</v>
      </c>
      <c r="Q47" s="27">
        <f t="shared" si="3"/>
        <v>5</v>
      </c>
      <c r="R47" s="9">
        <v>12.0</v>
      </c>
    </row>
    <row r="48">
      <c r="A48" s="9">
        <f t="shared" si="2"/>
        <v>0</v>
      </c>
      <c r="B48" s="9">
        <v>13.0</v>
      </c>
      <c r="C48" s="26">
        <f>IF(A61=0,1,0)</f>
        <v>1</v>
      </c>
      <c r="D48" s="26">
        <v>0.0</v>
      </c>
      <c r="E48" s="26">
        <v>0.0</v>
      </c>
      <c r="F48" s="26">
        <v>0.0</v>
      </c>
      <c r="G48" s="26">
        <v>0.0</v>
      </c>
      <c r="H48" s="26">
        <v>0.0</v>
      </c>
      <c r="I48" s="26">
        <v>0.0</v>
      </c>
      <c r="J48" s="26">
        <v>0.0</v>
      </c>
      <c r="K48" s="26">
        <v>0.0</v>
      </c>
      <c r="L48" s="26">
        <v>0.0</v>
      </c>
      <c r="M48" s="26">
        <v>0.0</v>
      </c>
      <c r="N48" s="26">
        <v>0.0</v>
      </c>
      <c r="O48" s="26">
        <v>0.0</v>
      </c>
      <c r="P48" s="26">
        <v>0.0</v>
      </c>
      <c r="Q48" s="27">
        <f t="shared" si="3"/>
        <v>1</v>
      </c>
      <c r="R48" s="9">
        <v>13.0</v>
      </c>
    </row>
    <row r="49">
      <c r="A49" s="9">
        <f t="shared" si="2"/>
        <v>0</v>
      </c>
      <c r="B49" s="9">
        <v>14.0</v>
      </c>
      <c r="C49" s="26">
        <f t="shared" ref="C49:C50" si="6">IF(A37=0,1,0)</f>
        <v>1</v>
      </c>
      <c r="D49" s="26">
        <f>IF(A42=0,1,0)</f>
        <v>1</v>
      </c>
      <c r="E49" s="26">
        <f>IF(A63=0,1,0)</f>
        <v>1</v>
      </c>
      <c r="F49" s="26">
        <v>0.0</v>
      </c>
      <c r="G49" s="26">
        <v>0.0</v>
      </c>
      <c r="H49" s="26">
        <v>0.0</v>
      </c>
      <c r="I49" s="26">
        <v>0.0</v>
      </c>
      <c r="J49" s="26">
        <v>0.0</v>
      </c>
      <c r="K49" s="26">
        <v>0.0</v>
      </c>
      <c r="L49" s="26">
        <v>0.0</v>
      </c>
      <c r="M49" s="26">
        <v>0.0</v>
      </c>
      <c r="N49" s="26">
        <v>0.0</v>
      </c>
      <c r="O49" s="26">
        <v>0.0</v>
      </c>
      <c r="P49" s="26">
        <v>0.0</v>
      </c>
      <c r="Q49" s="27">
        <f t="shared" si="3"/>
        <v>3</v>
      </c>
      <c r="R49" s="9">
        <v>14.0</v>
      </c>
    </row>
    <row r="50">
      <c r="A50" s="9">
        <f t="shared" si="2"/>
        <v>0</v>
      </c>
      <c r="B50" s="9">
        <v>15.0</v>
      </c>
      <c r="C50" s="26">
        <f t="shared" si="6"/>
        <v>1</v>
      </c>
      <c r="D50" s="26">
        <f>IF(A40=0,1,0)</f>
        <v>1</v>
      </c>
      <c r="E50" s="26">
        <f>IF(A65=0,1,0)</f>
        <v>1</v>
      </c>
      <c r="F50" s="26">
        <v>0.0</v>
      </c>
      <c r="G50" s="26">
        <v>0.0</v>
      </c>
      <c r="H50" s="26">
        <v>0.0</v>
      </c>
      <c r="I50" s="26">
        <v>0.0</v>
      </c>
      <c r="J50" s="26">
        <v>0.0</v>
      </c>
      <c r="K50" s="26">
        <v>0.0</v>
      </c>
      <c r="L50" s="26">
        <v>0.0</v>
      </c>
      <c r="M50" s="26">
        <v>0.0</v>
      </c>
      <c r="N50" s="26">
        <v>0.0</v>
      </c>
      <c r="O50" s="26">
        <v>0.0</v>
      </c>
      <c r="P50" s="26">
        <v>0.0</v>
      </c>
      <c r="Q50" s="27">
        <f t="shared" si="3"/>
        <v>3</v>
      </c>
      <c r="R50" s="9">
        <v>15.0</v>
      </c>
    </row>
    <row r="51">
      <c r="A51" s="9">
        <f t="shared" si="2"/>
        <v>0</v>
      </c>
      <c r="B51" s="9">
        <v>16.0</v>
      </c>
      <c r="C51" s="26">
        <f>IF(A37=0,1,0)</f>
        <v>1</v>
      </c>
      <c r="D51" s="26">
        <f>IF(A39=0,1,0)</f>
        <v>1</v>
      </c>
      <c r="E51" s="26">
        <f>IF(A43=0,1,0)</f>
        <v>1</v>
      </c>
      <c r="F51" s="26">
        <v>0.0</v>
      </c>
      <c r="G51" s="26">
        <v>0.0</v>
      </c>
      <c r="H51" s="26">
        <v>0.0</v>
      </c>
      <c r="I51" s="26">
        <v>0.0</v>
      </c>
      <c r="J51" s="26">
        <v>0.0</v>
      </c>
      <c r="K51" s="26">
        <v>0.0</v>
      </c>
      <c r="L51" s="26">
        <v>0.0</v>
      </c>
      <c r="M51" s="26">
        <v>0.0</v>
      </c>
      <c r="N51" s="26">
        <v>0.0</v>
      </c>
      <c r="O51" s="26">
        <v>0.0</v>
      </c>
      <c r="P51" s="26">
        <v>0.0</v>
      </c>
      <c r="Q51" s="27">
        <f t="shared" si="3"/>
        <v>3</v>
      </c>
      <c r="R51" s="9">
        <v>16.0</v>
      </c>
    </row>
    <row r="52">
      <c r="A52" s="9">
        <f t="shared" si="2"/>
        <v>0</v>
      </c>
      <c r="B52" s="9">
        <v>17.0</v>
      </c>
      <c r="C52" s="26">
        <v>0.0</v>
      </c>
      <c r="D52" s="26">
        <v>0.0</v>
      </c>
      <c r="E52" s="26">
        <v>0.0</v>
      </c>
      <c r="F52" s="26">
        <v>0.0</v>
      </c>
      <c r="G52" s="26">
        <v>0.0</v>
      </c>
      <c r="H52" s="26">
        <v>0.0</v>
      </c>
      <c r="I52" s="26">
        <v>0.0</v>
      </c>
      <c r="J52" s="26">
        <v>0.0</v>
      </c>
      <c r="K52" s="26">
        <v>0.0</v>
      </c>
      <c r="L52" s="26">
        <v>0.0</v>
      </c>
      <c r="M52" s="26">
        <v>0.0</v>
      </c>
      <c r="N52" s="26">
        <v>0.0</v>
      </c>
      <c r="O52" s="26">
        <v>0.0</v>
      </c>
      <c r="P52" s="26">
        <v>0.0</v>
      </c>
      <c r="Q52" s="27">
        <f t="shared" si="3"/>
        <v>0</v>
      </c>
      <c r="R52" s="9">
        <v>17.0</v>
      </c>
    </row>
    <row r="53">
      <c r="A53" s="9">
        <f t="shared" si="2"/>
        <v>0</v>
      </c>
      <c r="B53" s="9">
        <v>18.0</v>
      </c>
      <c r="C53" s="26">
        <f>IF(A37=0,1,0)</f>
        <v>1</v>
      </c>
      <c r="D53" s="26">
        <f>IF(A38=0,1,0)</f>
        <v>1</v>
      </c>
      <c r="E53" s="26">
        <f>IF(A41=0,1,0)</f>
        <v>1</v>
      </c>
      <c r="F53" s="26">
        <f>IF(A44=0,1,0)</f>
        <v>1</v>
      </c>
      <c r="G53" s="26">
        <v>0.0</v>
      </c>
      <c r="H53" s="26">
        <v>0.0</v>
      </c>
      <c r="I53" s="26">
        <v>0.0</v>
      </c>
      <c r="J53" s="26">
        <v>0.0</v>
      </c>
      <c r="K53" s="26">
        <v>0.0</v>
      </c>
      <c r="L53" s="26">
        <v>0.0</v>
      </c>
      <c r="M53" s="26">
        <v>0.0</v>
      </c>
      <c r="N53" s="26">
        <v>0.0</v>
      </c>
      <c r="O53" s="26">
        <v>0.0</v>
      </c>
      <c r="P53" s="26">
        <v>0.0</v>
      </c>
      <c r="Q53" s="27">
        <f t="shared" si="3"/>
        <v>4</v>
      </c>
      <c r="R53" s="9">
        <v>18.0</v>
      </c>
    </row>
    <row r="54">
      <c r="A54" s="9">
        <f t="shared" si="2"/>
        <v>0</v>
      </c>
      <c r="B54" s="9">
        <v>19.0</v>
      </c>
      <c r="C54" s="26">
        <v>0.0</v>
      </c>
      <c r="D54" s="26">
        <v>0.0</v>
      </c>
      <c r="E54" s="26">
        <v>0.0</v>
      </c>
      <c r="F54" s="26">
        <v>0.0</v>
      </c>
      <c r="G54" s="26">
        <v>0.0</v>
      </c>
      <c r="H54" s="26">
        <v>0.0</v>
      </c>
      <c r="I54" s="26">
        <v>0.0</v>
      </c>
      <c r="J54" s="26">
        <v>0.0</v>
      </c>
      <c r="K54" s="26">
        <v>0.0</v>
      </c>
      <c r="L54" s="26">
        <v>0.0</v>
      </c>
      <c r="M54" s="26">
        <v>0.0</v>
      </c>
      <c r="N54" s="26">
        <v>0.0</v>
      </c>
      <c r="O54" s="26">
        <v>0.0</v>
      </c>
      <c r="P54" s="26">
        <v>0.0</v>
      </c>
      <c r="Q54" s="27">
        <f t="shared" si="3"/>
        <v>0</v>
      </c>
      <c r="R54" s="9">
        <v>19.0</v>
      </c>
    </row>
    <row r="55">
      <c r="A55" s="9">
        <f t="shared" si="2"/>
        <v>0</v>
      </c>
      <c r="B55" s="9">
        <v>20.0</v>
      </c>
      <c r="C55" s="26">
        <f t="shared" ref="C55:C56" si="7">IF(A37=0,1,0)</f>
        <v>1</v>
      </c>
      <c r="D55" s="26">
        <f>IF(A39=0,1,0)</f>
        <v>1</v>
      </c>
      <c r="E55" s="26">
        <f>IF(A40=0,1,0)</f>
        <v>1</v>
      </c>
      <c r="F55" s="26">
        <f>IF(A45=0,1,0)</f>
        <v>1</v>
      </c>
      <c r="G55" s="26">
        <v>0.0</v>
      </c>
      <c r="H55" s="26">
        <v>0.0</v>
      </c>
      <c r="I55" s="26">
        <v>0.0</v>
      </c>
      <c r="J55" s="26">
        <v>0.0</v>
      </c>
      <c r="K55" s="26">
        <v>0.0</v>
      </c>
      <c r="L55" s="26">
        <v>0.0</v>
      </c>
      <c r="M55" s="26">
        <v>0.0</v>
      </c>
      <c r="N55" s="26">
        <v>0.0</v>
      </c>
      <c r="O55" s="26">
        <v>0.0</v>
      </c>
      <c r="P55" s="26">
        <v>0.0</v>
      </c>
      <c r="Q55" s="27">
        <f t="shared" si="3"/>
        <v>4</v>
      </c>
      <c r="R55" s="9">
        <v>20.0</v>
      </c>
    </row>
    <row r="56">
      <c r="A56" s="9">
        <f t="shared" si="2"/>
        <v>0</v>
      </c>
      <c r="B56" s="9">
        <v>21.0</v>
      </c>
      <c r="C56" s="26">
        <f t="shared" si="7"/>
        <v>1</v>
      </c>
      <c r="D56" s="26">
        <f>IF(A42=0,1,0)</f>
        <v>1</v>
      </c>
      <c r="E56" s="26">
        <v>0.0</v>
      </c>
      <c r="F56" s="26">
        <v>0.0</v>
      </c>
      <c r="G56" s="26">
        <v>0.0</v>
      </c>
      <c r="H56" s="26">
        <v>0.0</v>
      </c>
      <c r="I56" s="26">
        <v>0.0</v>
      </c>
      <c r="J56" s="26">
        <v>0.0</v>
      </c>
      <c r="K56" s="26">
        <v>0.0</v>
      </c>
      <c r="L56" s="26">
        <v>0.0</v>
      </c>
      <c r="M56" s="26">
        <v>0.0</v>
      </c>
      <c r="N56" s="26">
        <v>0.0</v>
      </c>
      <c r="O56" s="26">
        <v>0.0</v>
      </c>
      <c r="P56" s="26">
        <v>0.0</v>
      </c>
      <c r="Q56" s="27">
        <f t="shared" si="3"/>
        <v>2</v>
      </c>
      <c r="R56" s="9">
        <v>21.0</v>
      </c>
    </row>
    <row r="57">
      <c r="A57" s="9">
        <f t="shared" si="2"/>
        <v>0</v>
      </c>
      <c r="B57" s="9">
        <v>22.0</v>
      </c>
      <c r="C57" s="26">
        <f>IF(A37=0,1,0)</f>
        <v>1</v>
      </c>
      <c r="D57" s="26">
        <f>IF(A46=0,1,0)</f>
        <v>1</v>
      </c>
      <c r="E57" s="26">
        <v>0.0</v>
      </c>
      <c r="F57" s="26">
        <v>0.0</v>
      </c>
      <c r="G57" s="26">
        <v>0.0</v>
      </c>
      <c r="H57" s="26">
        <v>0.0</v>
      </c>
      <c r="I57" s="26">
        <v>0.0</v>
      </c>
      <c r="J57" s="26">
        <v>0.0</v>
      </c>
      <c r="K57" s="26">
        <v>0.0</v>
      </c>
      <c r="L57" s="26">
        <v>0.0</v>
      </c>
      <c r="M57" s="26">
        <v>0.0</v>
      </c>
      <c r="N57" s="26">
        <v>0.0</v>
      </c>
      <c r="O57" s="26">
        <v>0.0</v>
      </c>
      <c r="P57" s="26">
        <v>0.0</v>
      </c>
      <c r="Q57" s="27">
        <f t="shared" si="3"/>
        <v>2</v>
      </c>
      <c r="R57" s="9">
        <v>22.0</v>
      </c>
    </row>
    <row r="58">
      <c r="A58" s="9">
        <f t="shared" si="2"/>
        <v>0</v>
      </c>
      <c r="B58" s="9">
        <v>23.0</v>
      </c>
      <c r="C58" s="26">
        <v>0.0</v>
      </c>
      <c r="D58" s="26">
        <v>0.0</v>
      </c>
      <c r="E58" s="26">
        <v>0.0</v>
      </c>
      <c r="F58" s="26">
        <v>0.0</v>
      </c>
      <c r="G58" s="26">
        <v>0.0</v>
      </c>
      <c r="H58" s="26">
        <v>0.0</v>
      </c>
      <c r="I58" s="26">
        <v>0.0</v>
      </c>
      <c r="J58" s="26">
        <v>0.0</v>
      </c>
      <c r="K58" s="26">
        <v>0.0</v>
      </c>
      <c r="L58" s="26">
        <v>0.0</v>
      </c>
      <c r="M58" s="26">
        <v>0.0</v>
      </c>
      <c r="N58" s="26">
        <v>0.0</v>
      </c>
      <c r="O58" s="26">
        <v>0.0</v>
      </c>
      <c r="P58" s="26">
        <v>0.0</v>
      </c>
      <c r="Q58" s="27">
        <f t="shared" si="3"/>
        <v>0</v>
      </c>
      <c r="R58" s="9">
        <v>23.0</v>
      </c>
    </row>
    <row r="59">
      <c r="A59" s="9">
        <f t="shared" si="2"/>
        <v>0</v>
      </c>
      <c r="B59" s="9">
        <v>24.0</v>
      </c>
      <c r="C59" s="26">
        <f>IF(A37=0,1,0)</f>
        <v>1</v>
      </c>
      <c r="D59" s="26">
        <f>IF(A38=0,1,0)</f>
        <v>1</v>
      </c>
      <c r="E59" s="26">
        <f>IF(A39=0,1,0)</f>
        <v>1</v>
      </c>
      <c r="F59" s="26">
        <f>IF(A41=0,1,0)</f>
        <v>1</v>
      </c>
      <c r="G59" s="26">
        <f>IF(A43=0,1,0)</f>
        <v>1</v>
      </c>
      <c r="H59" s="26">
        <f>IF(A47=0,1,0)</f>
        <v>1</v>
      </c>
      <c r="I59" s="26">
        <v>0.0</v>
      </c>
      <c r="J59" s="26">
        <v>0.0</v>
      </c>
      <c r="K59" s="26">
        <v>0.0</v>
      </c>
      <c r="L59" s="26">
        <v>0.0</v>
      </c>
      <c r="M59" s="26">
        <v>0.0</v>
      </c>
      <c r="N59" s="26">
        <v>0.0</v>
      </c>
      <c r="O59" s="26">
        <v>0.0</v>
      </c>
      <c r="P59" s="26">
        <v>0.0</v>
      </c>
      <c r="Q59" s="27">
        <f t="shared" si="3"/>
        <v>6</v>
      </c>
      <c r="R59" s="9">
        <v>24.0</v>
      </c>
    </row>
    <row r="60">
      <c r="A60" s="9">
        <f t="shared" si="2"/>
        <v>0</v>
      </c>
      <c r="B60" s="9">
        <v>25.0</v>
      </c>
      <c r="C60" s="26">
        <f>IF(A40=0,1,0)</f>
        <v>1</v>
      </c>
      <c r="D60" s="26">
        <v>0.0</v>
      </c>
      <c r="E60" s="26">
        <v>0.0</v>
      </c>
      <c r="F60" s="26">
        <v>0.0</v>
      </c>
      <c r="G60" s="26">
        <v>0.0</v>
      </c>
      <c r="H60" s="26">
        <v>0.0</v>
      </c>
      <c r="I60" s="26">
        <v>0.0</v>
      </c>
      <c r="J60" s="26">
        <v>0.0</v>
      </c>
      <c r="K60" s="26">
        <v>0.0</v>
      </c>
      <c r="L60" s="26">
        <v>0.0</v>
      </c>
      <c r="M60" s="26">
        <v>0.0</v>
      </c>
      <c r="N60" s="26">
        <v>0.0</v>
      </c>
      <c r="O60" s="26">
        <v>0.0</v>
      </c>
      <c r="P60" s="26">
        <v>0.0</v>
      </c>
      <c r="Q60" s="27">
        <f t="shared" si="3"/>
        <v>1</v>
      </c>
      <c r="R60" s="9">
        <v>25.0</v>
      </c>
    </row>
    <row r="61">
      <c r="A61" s="9">
        <f t="shared" si="2"/>
        <v>0</v>
      </c>
      <c r="B61" s="9">
        <v>26.0</v>
      </c>
      <c r="C61" s="26">
        <f t="shared" ref="C61:C62" si="8">IF(A37=0,1,0)</f>
        <v>1</v>
      </c>
      <c r="D61" s="26">
        <f>IF(A48=0,1,0)</f>
        <v>1</v>
      </c>
      <c r="E61" s="26">
        <v>0.0</v>
      </c>
      <c r="F61" s="26">
        <v>0.0</v>
      </c>
      <c r="G61" s="26">
        <v>0.0</v>
      </c>
      <c r="H61" s="26">
        <v>0.0</v>
      </c>
      <c r="I61" s="26">
        <v>0.0</v>
      </c>
      <c r="J61" s="26">
        <v>0.0</v>
      </c>
      <c r="K61" s="26">
        <v>0.0</v>
      </c>
      <c r="L61" s="26">
        <v>0.0</v>
      </c>
      <c r="M61" s="26">
        <v>0.0</v>
      </c>
      <c r="N61" s="26">
        <v>0.0</v>
      </c>
      <c r="O61" s="26">
        <v>0.0</v>
      </c>
      <c r="P61" s="26">
        <v>0.0</v>
      </c>
      <c r="Q61" s="27">
        <f t="shared" ref="Q61:Q62" si="9">SUM(D61:P61)</f>
        <v>1</v>
      </c>
      <c r="R61" s="9">
        <v>26.0</v>
      </c>
    </row>
    <row r="62">
      <c r="A62" s="9">
        <f t="shared" si="2"/>
        <v>0</v>
      </c>
      <c r="B62" s="9">
        <v>27.0</v>
      </c>
      <c r="C62" s="26">
        <f t="shared" si="8"/>
        <v>1</v>
      </c>
      <c r="D62" s="26">
        <f>IF(A44=0,1,0)</f>
        <v>1</v>
      </c>
      <c r="E62" s="26">
        <v>0.0</v>
      </c>
      <c r="F62" s="26">
        <v>0.0</v>
      </c>
      <c r="G62" s="26">
        <v>0.0</v>
      </c>
      <c r="H62" s="26">
        <v>0.0</v>
      </c>
      <c r="I62" s="26">
        <v>0.0</v>
      </c>
      <c r="J62" s="26">
        <v>0.0</v>
      </c>
      <c r="K62" s="26">
        <v>0.0</v>
      </c>
      <c r="L62" s="26">
        <v>0.0</v>
      </c>
      <c r="M62" s="26">
        <v>0.0</v>
      </c>
      <c r="N62" s="26">
        <v>0.0</v>
      </c>
      <c r="O62" s="26">
        <v>0.0</v>
      </c>
      <c r="P62" s="26">
        <v>0.0</v>
      </c>
      <c r="Q62" s="27">
        <f t="shared" si="9"/>
        <v>1</v>
      </c>
      <c r="R62" s="9">
        <v>27.0</v>
      </c>
    </row>
    <row r="63">
      <c r="A63" s="9">
        <f t="shared" si="2"/>
        <v>0</v>
      </c>
      <c r="B63" s="9">
        <v>28.0</v>
      </c>
      <c r="C63" s="26">
        <f>IF(A37=0,1,0)</f>
        <v>1</v>
      </c>
      <c r="D63" s="26">
        <f>IF(A39=0,1,0)</f>
        <v>1</v>
      </c>
      <c r="E63" s="26">
        <f>IF(A42=0,1,0)</f>
        <v>1</v>
      </c>
      <c r="F63" s="26">
        <f>IF(A49=0,1,0)</f>
        <v>1</v>
      </c>
      <c r="G63" s="26">
        <v>0.0</v>
      </c>
      <c r="H63" s="26">
        <v>0.0</v>
      </c>
      <c r="I63" s="26">
        <v>0.0</v>
      </c>
      <c r="J63" s="26">
        <v>0.0</v>
      </c>
      <c r="K63" s="26">
        <v>0.0</v>
      </c>
      <c r="L63" s="26">
        <v>0.0</v>
      </c>
      <c r="M63" s="26">
        <v>0.0</v>
      </c>
      <c r="N63" s="26">
        <v>0.0</v>
      </c>
      <c r="O63" s="26">
        <v>0.0</v>
      </c>
      <c r="P63" s="26">
        <v>0.0</v>
      </c>
      <c r="Q63" s="27">
        <f t="shared" ref="Q63:Q65" si="10">SUM(C63:P63)</f>
        <v>4</v>
      </c>
      <c r="R63" s="9">
        <v>28.0</v>
      </c>
    </row>
    <row r="64">
      <c r="A64" s="9">
        <f t="shared" si="2"/>
        <v>0</v>
      </c>
      <c r="B64" s="9">
        <v>29.0</v>
      </c>
      <c r="C64" s="26">
        <v>0.0</v>
      </c>
      <c r="D64" s="26">
        <v>0.0</v>
      </c>
      <c r="E64" s="26">
        <v>0.0</v>
      </c>
      <c r="F64" s="26">
        <v>0.0</v>
      </c>
      <c r="G64" s="26">
        <v>0.0</v>
      </c>
      <c r="H64" s="26">
        <v>0.0</v>
      </c>
      <c r="I64" s="26">
        <v>0.0</v>
      </c>
      <c r="J64" s="26">
        <v>0.0</v>
      </c>
      <c r="K64" s="26">
        <v>0.0</v>
      </c>
      <c r="L64" s="26">
        <v>0.0</v>
      </c>
      <c r="M64" s="26">
        <v>0.0</v>
      </c>
      <c r="N64" s="26">
        <v>0.0</v>
      </c>
      <c r="O64" s="26">
        <v>0.0</v>
      </c>
      <c r="P64" s="26">
        <v>0.0</v>
      </c>
      <c r="Q64" s="27">
        <f t="shared" si="10"/>
        <v>0</v>
      </c>
      <c r="R64" s="9">
        <v>29.0</v>
      </c>
    </row>
    <row r="65">
      <c r="A65" s="9">
        <f t="shared" si="2"/>
        <v>0</v>
      </c>
      <c r="B65" s="9">
        <v>30.0</v>
      </c>
      <c r="C65" s="26">
        <f>IF(A37=0,1,0)</f>
        <v>1</v>
      </c>
      <c r="D65" s="26">
        <f>IF(A38=0,1,0)</f>
        <v>1</v>
      </c>
      <c r="E65" s="26">
        <f>IF(A40=0,1,0)</f>
        <v>1</v>
      </c>
      <c r="F65" s="26">
        <f>IF(A41=0,1,0)</f>
        <v>1</v>
      </c>
      <c r="G65" s="26">
        <f>IF(A45=0,1,0)</f>
        <v>1</v>
      </c>
      <c r="H65" s="26">
        <f>IF(A50=0,1,0)</f>
        <v>1</v>
      </c>
      <c r="I65" s="26">
        <v>0.0</v>
      </c>
      <c r="J65" s="26">
        <v>0.0</v>
      </c>
      <c r="K65" s="26">
        <v>0.0</v>
      </c>
      <c r="L65" s="26">
        <v>0.0</v>
      </c>
      <c r="M65" s="26">
        <v>0.0</v>
      </c>
      <c r="N65" s="26">
        <v>0.0</v>
      </c>
      <c r="O65" s="26">
        <v>0.0</v>
      </c>
      <c r="P65" s="26">
        <v>0.0</v>
      </c>
      <c r="Q65" s="27">
        <f t="shared" si="10"/>
        <v>6</v>
      </c>
      <c r="R65" s="9">
        <v>30.0</v>
      </c>
    </row>
  </sheetData>
  <conditionalFormatting sqref="Q37:Q65">
    <cfRule type="cellIs" dxfId="4" priority="1" operator="equal">
      <formula>0</formula>
    </cfRule>
  </conditionalFormatting>
  <conditionalFormatting sqref="A37:A65">
    <cfRule type="cellIs" dxfId="5" priority="2" operator="equal">
      <formula>1</formula>
    </cfRule>
  </conditionalFormatting>
  <conditionalFormatting sqref="Q37:Q65">
    <cfRule type="cellIs" dxfId="6" priority="3" operator="equal">
      <formula>1</formula>
    </cfRule>
  </conditionalFormatting>
  <conditionalFormatting sqref="Q37:Q65">
    <cfRule type="cellIs" dxfId="7" priority="4" operator="equal">
      <formula>2</formula>
    </cfRule>
  </conditionalFormatting>
  <conditionalFormatting sqref="Q37:Q65">
    <cfRule type="cellIs" dxfId="8" priority="5" operator="equal">
      <formula>3</formula>
    </cfRule>
  </conditionalFormatting>
  <conditionalFormatting sqref="Q37:Q65">
    <cfRule type="cellIs" dxfId="9" priority="6" operator="equal">
      <formula>4</formula>
    </cfRule>
  </conditionalFormatting>
  <conditionalFormatting sqref="Q37:Q65">
    <cfRule type="cellIs" dxfId="10" priority="7" operator="equal">
      <formula>5</formula>
    </cfRule>
  </conditionalFormatting>
  <conditionalFormatting sqref="Q37:Q65">
    <cfRule type="cellIs" dxfId="11" priority="8" operator="equal">
      <formula>6</formula>
    </cfRule>
  </conditionalFormatting>
  <conditionalFormatting sqref="Q37:Q65">
    <cfRule type="cellIs" dxfId="12" priority="9" operator="equal">
      <formula>7</formula>
    </cfRule>
  </conditionalFormatting>
  <conditionalFormatting sqref="Q37:Q65">
    <cfRule type="cellIs" dxfId="13" priority="10" operator="equal">
      <formula>8</formula>
    </cfRule>
  </conditionalFormatting>
  <conditionalFormatting sqref="Q37:Q65">
    <cfRule type="cellIs" dxfId="14" priority="11" operator="equal">
      <formula>9</formula>
    </cfRule>
  </conditionalFormatting>
  <conditionalFormatting sqref="Q37:Q65">
    <cfRule type="cellIs" dxfId="15" priority="12" operator="equal">
      <formula>10</formula>
    </cfRule>
  </conditionalFormatting>
  <conditionalFormatting sqref="Q37:Q65">
    <cfRule type="cellIs" dxfId="16" priority="13" operator="equal">
      <formula>11</formula>
    </cfRule>
  </conditionalFormatting>
  <conditionalFormatting sqref="Q37:Q65">
    <cfRule type="cellIs" dxfId="17" priority="14" operator="equal">
      <formula>12</formula>
    </cfRule>
  </conditionalFormatting>
  <conditionalFormatting sqref="Q37:Q65">
    <cfRule type="cellIs" dxfId="18" priority="15" operator="equal">
      <formula>13</formula>
    </cfRule>
  </conditionalFormatting>
  <conditionalFormatting sqref="Q37:Q65">
    <cfRule type="cellIs" dxfId="19" priority="16" operator="equal">
      <formula>14</formula>
    </cfRule>
  </conditionalFormatting>
  <conditionalFormatting sqref="C37:P65">
    <cfRule type="cellIs" dxfId="20" priority="17" operator="equal">
      <formula>0</formula>
    </cfRule>
  </conditionalFormatting>
  <conditionalFormatting sqref="A37:A65">
    <cfRule type="cellIs" dxfId="4" priority="18" operator="equal">
      <formula>0</formula>
    </cfRule>
  </conditionalFormatting>
  <conditionalFormatting sqref="D2:Q30">
    <cfRule type="cellIs" dxfId="21" priority="19" operator="equal">
      <formula>0</formula>
    </cfRule>
  </conditionalFormatting>
  <conditionalFormatting sqref="B2:B30">
    <cfRule type="cellIs" dxfId="4" priority="20" operator="equal">
      <formula>0</formula>
    </cfRule>
  </conditionalFormatting>
  <conditionalFormatting sqref="B2:B30">
    <cfRule type="cellIs" dxfId="19" priority="21" operator="equal">
      <formula>1</formula>
    </cfRule>
  </conditionalFormatting>
  <conditionalFormatting sqref="A2:A30">
    <cfRule type="cellIs" dxfId="4" priority="22" operator="equal">
      <formula>0</formula>
    </cfRule>
  </conditionalFormatting>
  <conditionalFormatting sqref="A2:A30">
    <cfRule type="cellIs" dxfId="6" priority="23" operator="equal">
      <formula>1</formula>
    </cfRule>
  </conditionalFormatting>
  <conditionalFormatting sqref="A2:A30">
    <cfRule type="cellIs" dxfId="8" priority="24" operator="equal">
      <formula>3</formula>
    </cfRule>
  </conditionalFormatting>
  <conditionalFormatting sqref="A2:A30">
    <cfRule type="cellIs" dxfId="9" priority="25" operator="equal">
      <formula>4</formula>
    </cfRule>
  </conditionalFormatting>
  <conditionalFormatting sqref="A2:A30">
    <cfRule type="cellIs" dxfId="10" priority="26" operator="equal">
      <formula>5</formula>
    </cfRule>
  </conditionalFormatting>
  <conditionalFormatting sqref="A2:A30">
    <cfRule type="cellIs" dxfId="7" priority="27" operator="equal">
      <formula>2</formula>
    </cfRule>
  </conditionalFormatting>
  <conditionalFormatting sqref="A2:A30">
    <cfRule type="cellIs" dxfId="11" priority="28" operator="equal">
      <formula>6</formula>
    </cfRule>
  </conditionalFormatting>
  <conditionalFormatting sqref="A2:A30">
    <cfRule type="cellIs" dxfId="12" priority="29" operator="equal">
      <formula>7</formula>
    </cfRule>
  </conditionalFormatting>
  <conditionalFormatting sqref="A2:A30">
    <cfRule type="cellIs" dxfId="13" priority="30" operator="equal">
      <formula>8</formula>
    </cfRule>
  </conditionalFormatting>
  <conditionalFormatting sqref="A2:A30">
    <cfRule type="cellIs" dxfId="14" priority="31" operator="equal">
      <formula>9</formula>
    </cfRule>
  </conditionalFormatting>
  <conditionalFormatting sqref="A2:A30">
    <cfRule type="cellIs" dxfId="15" priority="32" operator="equal">
      <formula>10</formula>
    </cfRule>
  </conditionalFormatting>
  <conditionalFormatting sqref="A2:A30">
    <cfRule type="cellIs" dxfId="16" priority="33" operator="equal">
      <formula>11</formula>
    </cfRule>
  </conditionalFormatting>
  <conditionalFormatting sqref="A2:A30">
    <cfRule type="cellIs" dxfId="17" priority="34" operator="equal">
      <formula>12</formula>
    </cfRule>
  </conditionalFormatting>
  <conditionalFormatting sqref="A2:A30">
    <cfRule type="cellIs" dxfId="18" priority="35" operator="equal">
      <formula>13</formula>
    </cfRule>
  </conditionalFormatting>
  <conditionalFormatting sqref="A2:A30">
    <cfRule type="cellIs" dxfId="19" priority="36" operator="equal">
      <formula>14</formula>
    </cfRule>
  </conditionalFormatting>
  <drawing r:id="rId1"/>
  <tableParts count="2">
    <tablePart r:id="rId4"/>
    <tablePart r:id="rId5"/>
  </tableParts>
</worksheet>
</file>